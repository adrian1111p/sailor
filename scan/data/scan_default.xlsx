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3CB3D7B5-180F-4F3A-BF7A-45757B760140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<sst xmlns="http://schemas.openxmlformats.org/spreadsheetml/2006/main" count="377" uniqueCount="316">
  <si>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</si>
  <si>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</si>
  <si>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</si>
  <si>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</si>
  <si>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</si>
  <si>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</si>
  <si>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</si>
  <si>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</si>
  <si>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</si>
  <si>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</si>
  <si>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</si>
  <si>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</si>
  <si>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</si>
  <si>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</si>
  <si>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</si>
  <si>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</si>
  <si>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</si>
  <si>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</si>
  <si>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</si>
  <si>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</si>
  <si>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</si>
  <si>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</si>
  <si>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</si>
  <si>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</si>
  <si>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</si>
  <si>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</si>
  <si>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</si>
  <si>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</si>
  <si>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</si>
  <si>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</si>
  <si>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</si>
  <si>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</si>
  <si>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</si>
  <si>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</si>
  <si>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</si>
  <si>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</si>
  <si>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</si>
  <si>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</si>
  <si>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</si>
  <si>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</si>
  <si>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</si>
  <si>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</si>
  <si>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</si>
  <si>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</si>
  <si>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</si>
  <si>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</si>
  <si>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</si>
  <si>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</si>
  <si>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</si>
  <si>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</si>
  <si>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</si>
  <si>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</si>
  <si>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</si>
  <si>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</si>
  <si>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</si>
  <si>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</si>
  <si>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</si>
  <si>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</si>
  <si>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</si>
  <si>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</si>
  <si>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</si>
  <si>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</si>
  <si>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</si>
  <si>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</si>
  <si>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</si>
  <si>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</si>
  <si>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</si>
  <si>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</si>
  <si>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</si>
  <si>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</si>
  <si>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</si>
  <si>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</si>
  <si>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</si>
  <si>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</si>
  <si>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</si>
  <si>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</si>
  <si>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</si>
  <si>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</si>
  <si>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</si>
  <si>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</si>
  <si>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</si>
  <si>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</si>
  <si>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</si>
  <si>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</si>
  <si>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</si>
  <si>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</si>
  <si>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</si>
  <si>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</si>
  <si>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</si>
  <si>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</si>
  <si>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</si>
  <si>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</si>
  <si>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</si>
  <si>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</si>
  <si>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</si>
  <si>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</si>
  <si>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</si>
  <si>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</si>
  <si>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</si>
  <si>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</si>
  <si>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</si>
  <si>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</si>
  <si>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</si>
  <si>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</si>
  <si>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</si>
  <si>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</si>
  <si>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</si>
  <si>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</si>
  <si>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</si>
  <si>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</si>
  <si>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</si>
  <si>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</si>
  <si>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</si>
  <si>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</si>
  <si>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</si>
  <si>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</si>
  <si>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</si>
  <si>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</si>
  <si>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</si>
  <si>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</si>
  <si>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</si>
  <si>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</si>
  <si>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</si>
  <si>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</si>
  <si>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</si>
  <si>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</si>
  <si>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</si>
  <si>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</si>
  <si>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</si>
  <si>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</si>
  <si>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</si>
  <si>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</si>
  <si>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</si>
  <si>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</si>
  <si>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</si>
  <si>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</si>
  <si>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</si>
  <si>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</si>
  <si>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</si>
  <si>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</si>
  <si>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</si>
  <si>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</si>
  <si>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</si>
  <si>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</si>
  <si>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</si>
  <si>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</si>
  <si>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</si>
  <si>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</si>
  <si>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</si>
  <si>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</si>
  <si>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</si>
  <si>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</si>
  <si>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</si>
  <si>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</si>
  <si>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</si>
  <si>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</si>
  <si>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</si>
  <si>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</si>
  <si>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</si>
  <si>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</si>
  <si>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</si>
  <si>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</si>
  <si>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</si>
  <si>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</si>
  <si>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</si>
  <si>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</si>
  <si>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</si>
  <si>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</si>
  <si>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</si>
  <si>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</si>
  <si>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</si>
  <si>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</si>
  <si>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</si>
  <si>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</si>
  <si>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</si>
  <si>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</si>
  <si>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</si>
  <si>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</si>
  <si>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</si>
  <si>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</si>
  <si>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</si>
  <si>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</si>
  <si>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</si>
  <si>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</si>
  <si>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</si>
  <si>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</si>
  <si>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</si>
  <si>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</si>
  <si>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</si>
  <si>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</si>
  <si>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</si>
  <si>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</si>
  <si>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RCAT</t>
  </si>
  <si>
    <t>ONDS</t>
  </si>
  <si>
    <t>UPC</t>
  </si>
  <si>
    <t>TNMG</t>
  </si>
  <si>
    <t>PETS</t>
  </si>
  <si>
    <t>SKYQ</t>
  </si>
  <si>
    <t>ABCL</t>
  </si>
  <si>
    <t>CAST</t>
  </si>
  <si>
    <t>TZA</t>
  </si>
  <si>
    <t>ILLR</t>
  </si>
  <si>
    <t>RCT</t>
  </si>
  <si>
    <t>HUMA</t>
  </si>
  <si>
    <t>MBRX</t>
  </si>
  <si>
    <t>RXT</t>
  </si>
  <si>
    <t>RZLV</t>
  </si>
  <si>
    <t>LGCL</t>
  </si>
  <si>
    <t>EDBL</t>
  </si>
  <si>
    <t>BTCT</t>
  </si>
  <si>
    <t>INTZ</t>
  </si>
  <si>
    <t>AVAV</t>
  </si>
  <si>
    <t>CUPR</t>
  </si>
  <si>
    <t>CTNT</t>
  </si>
  <si>
    <t>VWAV</t>
  </si>
  <si>
    <t>GVH</t>
  </si>
  <si>
    <t>ENPH</t>
  </si>
  <si>
    <t>EBON</t>
  </si>
  <si>
    <t>BOT</t>
  </si>
  <si>
    <t>AVEX</t>
  </si>
  <si>
    <t>UMAC</t>
  </si>
  <si>
    <t>SHAZ</t>
  </si>
  <si>
    <t>SEDG</t>
  </si>
  <si>
    <t>KTTA</t>
  </si>
  <si>
    <t>BOLD</t>
  </si>
  <si>
    <t>QXO</t>
  </si>
  <si>
    <t>EQ</t>
  </si>
  <si>
    <t>VTGN</t>
  </si>
  <si>
    <t>UNCY</t>
  </si>
  <si>
    <t>GMEX</t>
  </si>
  <si>
    <t>NVCT</t>
  </si>
  <si>
    <t>CNXC</t>
  </si>
  <si>
    <t>BDRX</t>
  </si>
  <si>
    <t>VSH</t>
  </si>
  <si>
    <t>ACIU</t>
  </si>
  <si>
    <t>MAMA</t>
  </si>
  <si>
    <t>CONL</t>
  </si>
  <si>
    <t>LOGI</t>
  </si>
  <si>
    <t>SOC</t>
  </si>
  <si>
    <t>TNON</t>
  </si>
  <si>
    <t>GDC</t>
  </si>
  <si>
    <t>OSTX</t>
  </si>
  <si>
    <t>ATLN</t>
  </si>
  <si>
    <t>VVOS</t>
  </si>
  <si>
    <t>QTEX</t>
  </si>
  <si>
    <t>SVM</t>
  </si>
  <si>
    <t>BAK</t>
  </si>
  <si>
    <t>ASST</t>
  </si>
  <si>
    <t>SIVEF</t>
  </si>
  <si>
    <t>HAFN</t>
  </si>
  <si>
    <t>TRIB</t>
  </si>
  <si>
    <t>QUBT</t>
  </si>
  <si>
    <t>SBS</t>
  </si>
  <si>
    <t>UEC</t>
  </si>
  <si>
    <t>SBET</t>
  </si>
  <si>
    <t>CGC</t>
  </si>
  <si>
    <t>ITUB</t>
  </si>
  <si>
    <t>CSAI</t>
  </si>
  <si>
    <t>PONY</t>
  </si>
  <si>
    <t>HXHX</t>
  </si>
  <si>
    <t>LLDTF</t>
  </si>
  <si>
    <t>ARRY</t>
  </si>
  <si>
    <t>AKBA</t>
  </si>
  <si>
    <t>HAO</t>
  </si>
  <si>
    <t>ASPI</t>
  </si>
  <si>
    <t>CNDT</t>
  </si>
  <si>
    <t>DGNX</t>
  </si>
  <si>
    <t>NRGV</t>
  </si>
  <si>
    <t>BCRX</t>
  </si>
  <si>
    <t>SCAG</t>
  </si>
  <si>
    <t>NEOV</t>
  </si>
  <si>
    <t>PYXS</t>
  </si>
  <si>
    <t>NXXT</t>
  </si>
  <si>
    <t>DPRO</t>
  </si>
  <si>
    <t>CHAI</t>
  </si>
  <si>
    <t>AIRJ</t>
  </si>
  <si>
    <t>SVRE</t>
  </si>
  <si>
    <t>BACCR</t>
  </si>
  <si>
    <t>CELZ</t>
  </si>
  <si>
    <t>BACC</t>
  </si>
  <si>
    <t>QSI</t>
  </si>
  <si>
    <t>SPPL</t>
  </si>
  <si>
    <t>VGZ</t>
  </si>
  <si>
    <t>GWH</t>
  </si>
  <si>
    <t>AMTX</t>
  </si>
  <si>
    <t>KNDI</t>
  </si>
  <si>
    <t>LIDR</t>
  </si>
  <si>
    <t>OXSQ</t>
  </si>
  <si>
    <t>ALIT</t>
  </si>
  <si>
    <t>DEFT</t>
  </si>
  <si>
    <t>MIST</t>
  </si>
  <si>
    <t>REI</t>
  </si>
  <si>
    <t>SAFX</t>
  </si>
  <si>
    <t>PDYN</t>
  </si>
  <si>
    <t>LTRX</t>
  </si>
  <si>
    <t>ALDX</t>
  </si>
  <si>
    <t>GPRO</t>
  </si>
  <si>
    <t>VERI</t>
  </si>
  <si>
    <t>NNBR</t>
  </si>
  <si>
    <t>DVLT</t>
  </si>
  <si>
    <t>AMPG</t>
  </si>
  <si>
    <t>ELME</t>
  </si>
  <si>
    <t>GANX</t>
  </si>
  <si>
    <t>AIB</t>
  </si>
  <si>
    <t>BMEA</t>
  </si>
  <si>
    <t>ARBE</t>
  </si>
  <si>
    <t>VLN</t>
  </si>
  <si>
    <t>NFE</t>
  </si>
  <si>
    <t>MVIS</t>
  </si>
  <si>
    <t>TII</t>
  </si>
  <si>
    <t>CRIS</t>
  </si>
  <si>
    <t>GTBP</t>
  </si>
  <si>
    <t>VUZI</t>
  </si>
  <si>
    <t>VFF</t>
  </si>
  <si>
    <t>SPWR</t>
  </si>
  <si>
    <t>INVZ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</si>
</sst>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2,798 M</v>
        <stp/>
        <stp>MARKET_CAP</stp>
        <stp>FRSH</stp>
        <tr r="I203" s="1"/>
      </tp>
      <tp>
        <v>0</v>
        <stp/>
        <stp>MARK_CHANGE</stp>
        <stp>GPK</stp>
        <tr r="D140" s="1"/>
      </tp>
      <tp>
        <v>0</v>
        <stp/>
        <stp>MARK_CHANGE</stp>
        <stp>GTM</stp>
        <tr r="D209" s="1"/>
      </tp>
      <tp t="s">
        <v>13 M</v>
        <stp/>
        <stp>MARKET_CAP</stp>
        <stp>PRZO</stp>
        <tr r="I124" s="1"/>
      </tp>
      <tp t="s">
        <v>270 M</v>
        <stp/>
        <stp>MARKET_CAP</stp>
        <stp>ORBS</stp>
        <tr r="I92" s="1"/>
      </tp>
      <tp t="s">
        <v>129 M</v>
        <stp/>
        <stp>MARKET_CAP</stp>
        <stp>SRFM</stp>
        <tr r="I95" s="1"/>
        <tr r="I232" s="1"/>
      </tp>
      <tp t="s">
        <v>440 M</v>
        <stp/>
        <stp>MARKET_CAP</stp>
        <stp>KREF</stp>
        <tr r="I188" s="1"/>
      </tp>
      <tp t="s">
        <v>1.9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764 M</v>
        <stp/>
        <stp>MARKET_CAP</stp>
        <stp>TRON</stp>
        <tr r="I208" s="1"/>
      </tp>
      <tp t="s">
        <v>5,845 M</v>
        <stp/>
        <stp>MARKET_CAP</stp>
        <stp>FRMI</stp>
        <tr r="I158" s="1"/>
      </tp>
      <tp>
        <v>0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5.88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0</v>
        <stp/>
        <stp>MARK_CHANGE</stp>
        <stp>PRZO</stp>
        <tr r="D124" s="1"/>
      </tp>
      <tp t="s">
        <v>-0.40%</v>
        <stp/>
        <stp>MARK_PERCENT_CHANGE</stp>
        <stp>AGPU</stp>
        <tr r="E70" s="1"/>
        <tr r="E184" s="1"/>
      </tp>
      <tp>
        <v>4.8</v>
        <stp/>
        <stp>ASK</stp>
        <stp>CDLX</stp>
        <tr r="H146" s="1"/>
      </tp>
      <tp>
        <v>1.4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0</v>
        <stp/>
        <stp>MARK_CHANGE</stp>
        <stp>SRFM</stp>
        <tr r="D95" s="1"/>
        <tr r="D232" s="1"/>
      </tp>
      <tp>
        <v>0</v>
        <stp/>
        <stp>MARK_CHANGE</stp>
        <stp>KREF</stp>
        <tr r="D188" s="1"/>
      </tp>
      <tp>
        <v>7.6E-3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0</v>
        <stp/>
        <stp>MARK_CHANGE</stp>
        <stp>TRON</stp>
        <tr r="D208" s="1"/>
      </tp>
      <tp>
        <v>0</v>
        <stp/>
        <stp>MARK_CHANGE</stp>
        <stp>FRMI</stp>
        <tr r="D158" s="1"/>
      </tp>
      <tp>
        <v>0</v>
        <stp/>
        <stp>MARK_CHANGE</stp>
        <stp>LRHC</stp>
        <tr r="D187" s="1"/>
      </tp>
      <tp t="s">
        <v>211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0.99 M</v>
        <stp/>
        <stp>MARKET_CAP</stp>
        <stp>ZSPC</stp>
        <tr r="I69" s="1"/>
      </tp>
      <tp t="s">
        <v>49 M</v>
        <stp/>
        <stp>MARKET_CAP</stp>
        <stp>ASTI</stp>
        <tr r="I131" s="1"/>
        <tr r="I174" s="1"/>
      </tp>
      <tp t="s">
        <v>3.3 M</v>
        <stp/>
        <stp>MARKET_CAP</stp>
        <stp>GSUN</stp>
        <tr r="I82" s="1"/>
      </tp>
      <tp t="s">
        <v>1,614 M</v>
        <stp/>
        <stp>MARKET_CAP</stp>
        <stp>ASAN</stp>
        <tr r="I196" s="1"/>
      </tp>
      <tp t="s">
        <v>296 M</v>
        <stp/>
        <stp>MARKET_CAP</stp>
        <stp>GSIT</stp>
        <tr r="I217" s="1"/>
      </tp>
      <tp>
        <v>1.2</v>
        <stp/>
        <stp>ASK</stp>
        <stp>RECT</stp>
        <tr r="H133" s="1"/>
      </tp>
      <tp>
        <v>0</v>
        <stp/>
        <stp>MARK_CHANGE</stp>
        <stp>ASTI</stp>
        <tr r="D131" s="1"/>
        <tr r="D174" s="1"/>
      </tp>
      <tp>
        <v>9.1800000000000007E-2</v>
        <stp/>
        <stp>MARK_CHANGE</stp>
        <stp>GSUN</stp>
        <tr r="D82" s="1"/>
      </tp>
      <tp>
        <v>6.7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0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5.74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3</v>
        <stp/>
        <stp>ASK</stp>
        <stp>EEIQ</stp>
        <tr r="H221" s="1"/>
      </tp>
      <tp>
        <v>1.5</v>
        <stp/>
        <stp>ASK</stp>
        <stp>ZENA</stp>
        <tr r="H123" s="1"/>
      </tp>
      <tp>
        <v>2.0299999999999998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11.36</v>
        <stp/>
        <stp>ASK</stp>
        <stp>REPL</stp>
        <tr r="H175" s="1"/>
        <tr r="H122" s="1"/>
      </tp>
      <tp>
        <v>2.7</v>
        <stp/>
        <stp>ASK</stp>
        <stp>RETO</stp>
        <tr r="H72" s="1"/>
      </tp>
      <tp>
        <v>0.05</v>
        <stp/>
        <stp>MARK_CHANGE</stp>
        <stp>ASAN</stp>
        <tr r="D196" s="1"/>
      </tp>
      <tp>
        <v>-0.03</v>
        <stp/>
        <stp>MARK_CHANGE</stp>
        <stp>GSIT</stp>
        <tr r="D217" s="1"/>
      </tp>
      <tp>
        <v>445</v>
        <stp/>
        <stp>VOLUME</stp>
        <stp>TRX</stp>
        <tr r="F97" s="1"/>
      </tp>
      <tp>
        <v>759</v>
        <stp/>
        <stp>VOLUME</stp>
        <stp>TWI</stp>
        <tr r="F136" s="1"/>
      </tp>
      <tp t="s">
        <v>285 M</v>
        <stp/>
        <stp>MARKET_CAP</stp>
        <stp>ADSLF</stp>
        <tr r="I108" s="1"/>
      </tp>
      <tp t="s">
        <v>1.7 M</v>
        <stp/>
        <stp>MARKET_CAP</stp>
        <stp>IPST</stp>
        <tr r="I182" s="1"/>
      </tp>
      <tp t="s">
        <v>2.2 M</v>
        <stp/>
        <stp>MARKET_CAP</stp>
        <stp>RPGL</stp>
        <tr r="I76" s="1"/>
      </tp>
      <tp t="s">
        <v>4,457 M</v>
        <stp/>
        <stp>MARKET_CAP</stp>
        <stp>OPEN</stp>
        <tr r="I101" s="1"/>
      </tp>
      <tp t="s">
        <v>97 M</v>
        <stp/>
        <stp>MARKET_CAP</stp>
        <stp>CPIX</stp>
        <tr r="I180" s="1"/>
      </tp>
      <tp>
        <v>0</v>
        <stp/>
        <stp>MARK_CHANGE</stp>
        <stp>IPST</stp>
        <tr r="D182" s="1"/>
      </tp>
      <tp>
        <v>0.82499999999999996</v>
        <stp/>
        <stp>MARK</stp>
        <stp>TRX</stp>
        <tr r="C97" s="1"/>
      </tp>
      <tp t="s">
        <v>0.00%</v>
        <stp/>
        <stp>MARK_PERCENT_CHANGE</stp>
        <stp>RETO</stp>
        <tr r="E72" s="1"/>
      </tp>
      <tp>
        <v>7.71</v>
        <stp/>
        <stp>MARK</stp>
        <stp>TWI</stp>
        <tr r="C136" s="1"/>
      </tp>
      <tp t="s">
        <v>+1.08%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0</v>
        <stp/>
        <stp>MARK_CHANGE</stp>
        <stp>RPGL</stp>
        <tr r="D76" s="1"/>
      </tp>
      <tp t="s">
        <v>0.00%</v>
        <stp/>
        <stp>MARK_PERCENT_CHANGE</stp>
        <stp>RENX</stp>
        <tr r="E162" s="1"/>
      </tp>
      <tp>
        <v>-7.0000000000000007E-2</v>
        <stp/>
        <stp>MARK_CHANGE</stp>
        <stp>OPEN</stp>
        <tr r="D101" s="1"/>
      </tp>
      <tp t="s">
        <v>0.00%</v>
        <stp/>
        <stp>MARK_PERCENT_CHANGE</stp>
        <stp>ZENA</stp>
        <tr r="E123" s="1"/>
      </tp>
      <tp t="s">
        <v>-0.99%</v>
        <stp/>
        <stp>MARK_PERCENT_CHANGE</stp>
        <stp>EEIQ</stp>
        <tr r="E221" s="1"/>
      </tp>
      <tp t="s">
        <v>0.00%</v>
        <stp/>
        <stp>MARK_PERCENT_CHANGE</stp>
        <stp>KEEL</stp>
        <tr r="E173" s="1"/>
        <tr r="E128" s="1"/>
      </tp>
      <tp t="s">
        <v>0.00%</v>
        <stp/>
        <stp>MARK_PERCENT_CHANGE</stp>
        <stp>WEAV</stp>
        <tr r="E220" s="1"/>
      </tp>
      <tp t="s">
        <v>-3.23%</v>
        <stp/>
        <stp>MARK_PERCENT_CHANGE</stp>
        <stp>RECT</stp>
        <tr r="E133" s="1"/>
      </tp>
      <tp>
        <v>0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0.00%</v>
        <stp/>
        <stp>MARK_PERCENT_CHANGE</stp>
        <stp>BDMD</stp>
        <tr r="E141" s="1"/>
      </tp>
      <tp t="s">
        <v>0.00%</v>
        <stp/>
        <stp>MARK_PERCENT_CHANGE</stp>
        <stp>CDLX</stp>
        <tr r="E146" s="1"/>
      </tp>
      <tp>
        <v>7.55</v>
        <stp/>
        <stp>ASK</stp>
        <stp>AGPU</stp>
        <tr r="H184" s="1"/>
        <tr r="H70" s="1"/>
      </tp>
      <tp t="s">
        <v>+1.94%</v>
        <stp/>
        <stp>MARK_PERCENT_CHANGE</stp>
        <stp>TDIC</stp>
        <tr r="E168" s="1"/>
      </tp>
      <tp t="s">
        <v>6,759 M</v>
        <stp/>
        <stp>MARKET_CAP</stp>
        <stp>AVTR</stp>
        <tr r="I211" s="1"/>
      </tp>
      <tp>
        <v>0</v>
        <stp/>
        <stp>MARK_CHANGE</stp>
        <stp>CXM</stp>
        <tr r="D206" s="1"/>
      </tp>
      <tp>
        <v>0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0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0.00%</v>
        <stp/>
        <stp>MARK_PERCENT_CHANGE</stp>
        <stp>ACXP</stp>
        <tr r="E228" s="1"/>
      </tp>
      <tp t="s">
        <v>0.00%</v>
        <stp/>
        <stp>MARK_PERCENT_CHANGE</stp>
        <stp>GCTS</stp>
        <tr r="E149" s="1"/>
      </tp>
      <tp>
        <v>1.37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+7.75%</v>
        <stp/>
        <stp>MARK_PERCENT_CHANGE</stp>
        <stp>ACRS</stp>
        <tr r="E135" s="1"/>
      </tp>
      <tp>
        <v>1.04</v>
        <stp/>
        <stp>BID</stp>
        <stp>JZXN</stp>
        <tr r="G91" s="1"/>
      </tp>
      <tp t="s">
        <v>0.00%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0.00%</v>
        <stp/>
        <stp>MARK_PERCENT_CHANGE</stp>
        <stp>ACDC</stp>
        <tr r="E142" s="1"/>
      </tp>
      <tp t="s">
        <v>0.00%</v>
        <stp/>
        <stp>MARK_PERCENT_CHANGE</stp>
        <stp>OCGN</stp>
        <tr r="E147" s="1"/>
      </tp>
      <tp t="s">
        <v>-0.82%</v>
        <stp/>
        <stp>MARK_PERCENT_CHANGE</stp>
        <stp>UCAR</stp>
        <tr r="E172" s="1"/>
      </tp>
      <tp>
        <v>5.83</v>
        <stp/>
        <stp>MARK</stp>
        <stp>RES</stp>
        <tr r="C165" s="1"/>
      </tp>
      <tp t="s">
        <v>0.00%</v>
        <stp/>
        <stp>MARK_PERCENT_CHANGE</stp>
        <stp>YCBD</stp>
        <tr r="E176" s="1"/>
      </tp>
      <tp t="s">
        <v>36,718 M</v>
        <stp/>
        <stp>MARKET_CAP</stp>
        <stp>LNVGF</stp>
        <tr r="I112" s="1"/>
      </tp>
      <tp>
        <v>0</v>
        <stp/>
        <stp>MARK_CHANGE</stp>
        <stp>EU</stp>
        <tr r="D120" s="1"/>
      </tp>
      <tp>
        <v>0</v>
        <stp/>
        <stp>MARK_CHANGE</stp>
        <stp>BTG</stp>
        <tr r="D139" s="1"/>
      </tp>
      <tp>
        <v>0</v>
        <stp/>
        <stp>MARK_CHANGE</stp>
        <stp>MX</stp>
        <tr r="D113" s="1"/>
      </tp>
      <tp>
        <v>0.01</v>
        <stp/>
        <stp>MARK_CHANGE</stp>
        <stp>TE</stp>
        <tr r="D94" s="1"/>
      </tp>
      <tp>
        <v>0</v>
        <stp/>
        <stp>MARK_CHANGE</stp>
        <stp>RR</stp>
        <tr r="D103" s="1"/>
      </tp>
      <tp>
        <v>-0.04</v>
        <stp/>
        <stp>MARK_CHANGE</stp>
        <stp>QS</stp>
        <tr r="D170" s="1"/>
        <tr r="D132" s="1"/>
      </tp>
      <tp>
        <v>0.1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1.7</v>
        <stp/>
        <stp>ASK</stp>
        <stp>PACB</stp>
        <tr r="H226" s="1"/>
      </tp>
      <tp>
        <v>3.17</v>
        <stp/>
        <stp>ASK</stp>
        <stp>LAES</stp>
        <tr r="H83" s="1"/>
      </tp>
      <tp>
        <v>2.31</v>
        <stp/>
        <stp>MARK</stp>
        <stp>SST</stp>
        <tr r="C178" s="1"/>
      </tp>
      <tp t="s">
        <v>0.00%</v>
        <stp/>
        <stp>MARK_PERCENT_CHANGE</stp>
        <stp>WBUY</stp>
        <tr r="E204" s="1"/>
      </tp>
      <tp t="s">
        <v>0.00%</v>
        <stp/>
        <stp>MARK_PERCENT_CHANGE</stp>
        <stp>ABTS</stp>
        <tr r="E194" s="1"/>
      </tp>
      <tp t="s">
        <v>+0.87%</v>
        <stp/>
        <stp>MARK_PERCENT_CHANGE</stp>
        <stp>ABTC</stp>
        <tr r="E106" s="1"/>
      </tp>
      <tp>
        <v>7.59</v>
        <stp/>
        <stp>MARK</stp>
        <stp>SPT</stp>
        <tr r="C219" s="1"/>
      </tp>
      <tp t="s">
        <v>-1.21%</v>
        <stp/>
        <stp>MARK_PERCENT_CHANGE</stp>
        <stp>ABSI</stp>
        <tr r="E138" s="1"/>
      </tp>
      <tp>
        <v>0.39200000000000002</v>
        <stp/>
        <stp>ASK</stp>
        <stp>GAME</stp>
        <tr r="H80" s="1"/>
      </tp>
      <tp t="s">
        <v>+0.06%</v>
        <stp/>
        <stp>MARK_PERCENT_CHANGE</stp>
        <stp>IBRX</stp>
        <tr r="E87" s="1"/>
      </tp>
      <tp t="s">
        <v>-1.24%</v>
        <stp/>
        <stp>MARK_PERCENT_CHANGE</stp>
        <stp>MBLY</stp>
        <tr r="E171" s="1"/>
      </tp>
      <tp t="s">
        <v>0.00%</v>
        <stp/>
        <stp>MARK_PERCENT_CHANGE</stp>
        <stp>JBLU</stp>
        <tr r="E151" s="1"/>
      </tp>
      <tp>
        <v>6.59</v>
        <stp/>
        <stp>ASK</stp>
        <stp>PAVS</stp>
        <tr r="H216" s="1"/>
      </tp>
      <tp>
        <v>0.91</v>
        <stp/>
        <stp>ASK</stp>
        <stp>UAVS</stp>
        <tr r="H96" s="1"/>
      </tp>
      <tp>
        <v>13.4</v>
        <stp/>
        <stp>MARK</stp>
        <stp>SMX</stp>
        <tr r="C118" s="1"/>
      </tp>
      <tp>
        <v>10.98</v>
        <stp/>
        <stp>ASK</stp>
        <stp>PATH</stp>
        <tr r="H210" s="1"/>
      </tp>
      <tp>
        <v>5.81</v>
        <stp/>
        <stp>ASK</stp>
        <stp>SATL</stp>
        <tr r="H86" s="1"/>
      </tp>
      <tp>
        <v>1.29</v>
        <stp/>
        <stp>ASK</stp>
        <stp>BATL</stp>
        <tr r="H121" s="1"/>
      </tp>
      <tp t="s">
        <v>0.00%</v>
        <stp/>
        <stp>MARK_PERCENT_CHANGE</stp>
        <stp>BBAI</stp>
        <tr r="E84" s="1"/>
      </tp>
      <tp>
        <v>0.96020000000000005</v>
        <stp/>
        <stp>MARK</stp>
        <stp>SES</stp>
        <tr r="C126" s="1"/>
      </tp>
      <tp>
        <v>895</v>
        <stp/>
        <stp>VOLUME</stp>
        <stp>PBM</stp>
        <tr r="F79" s="1"/>
        <tr r="F213" s="1"/>
      </tp>
      <tp>
        <v>35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1,646 M</v>
        <stp/>
        <stp>MARKET_CAP</stp>
        <stp>FTRE</stp>
        <tr r="I200" s="1"/>
      </tp>
      <tp t="s">
        <v>4,419 M</v>
        <stp/>
        <stp>MARKET_CAP</stp>
        <stp>NTSK</stp>
        <tr r="I224" s="1"/>
      </tp>
      <tp t="s">
        <v>629 M</v>
        <stp/>
        <stp>MARKET_CAP</stp>
        <stp>BTBT</stp>
        <tr r="I100" s="1"/>
      </tp>
      <tp>
        <v>0</v>
        <stp/>
        <stp>MARK_CHANGE</stp>
        <stp>ACB</stp>
        <tr r="D222" s="1"/>
      </tp>
      <tp t="s">
        <v>2,686 M</v>
        <stp/>
        <stp>MARKET_CAP</stp>
        <stp>CTOS</stp>
        <tr r="I157" s="1"/>
      </tp>
      <tp>
        <v>0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232" s="1"/>
        <tr r="B95" s="1"/>
      </tp>
      <tp>
        <v>3.68</v>
        <stp/>
        <stp>ASK</stp>
        <stp>BBAI</stp>
        <tr r="H84" s="1"/>
      </tp>
      <tp>
        <v>0</v>
        <stp/>
        <stp>MARK_CHANGE</stp>
        <stp>FTRE</stp>
        <tr r="D200" s="1"/>
      </tp>
      <tp>
        <v>0.06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+1.22%</v>
        <stp/>
        <stp>MARK_PERCENT_CHANGE</stp>
        <stp>SATL</stp>
        <tr r="E86" s="1"/>
      </tp>
      <tp t="s">
        <v>-1.53%</v>
        <stp/>
        <stp>MARK_PERCENT_CHANGE</stp>
        <stp>BATL</stp>
        <tr r="E121" s="1"/>
      </tp>
      <tp t="s">
        <v>+0.92%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-11.31%</v>
        <stp/>
        <stp>MARK_PERCENT_CHANGE</stp>
        <stp>PAVS</stp>
        <tr r="E216" s="1"/>
      </tp>
      <tp t="s">
        <v>0.00%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5.78</v>
        <stp/>
        <stp>ASK</stp>
        <stp>JBLU</stp>
        <tr r="H151" s="1"/>
      </tp>
      <tp>
        <v>9.56</v>
        <stp/>
        <stp>ASK</stp>
        <stp>MBLY</stp>
        <tr r="H171" s="1"/>
      </tp>
      <tp t="s">
        <v>-0.76%</v>
        <stp/>
        <stp>MARK_PERCENT_CHANGE</stp>
        <stp>GAME</stp>
        <tr r="E80" s="1"/>
      </tp>
      <tp>
        <v>8.77</v>
        <stp/>
        <stp>ASK</stp>
        <stp>IBRX</stp>
        <tr r="H87" s="1"/>
      </tp>
      <tp>
        <v>11.45</v>
        <stp/>
        <stp>ASK</stp>
        <stp>ABSI</stp>
        <tr r="H138" s="1"/>
      </tp>
      <tp>
        <v>0</v>
        <stp/>
        <stp>MARK_CHANGE</stp>
        <stp>BTBT</stp>
        <tr r="D100" s="1"/>
      </tp>
      <tp>
        <v>0.68859999999999999</v>
        <stp/>
        <stp>ASK</stp>
        <stp>ABTC</stp>
        <tr r="H106" s="1"/>
      </tp>
      <tp>
        <v>1.24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0.9002</v>
        <stp/>
        <stp>ASK</stp>
        <stp>WBUY</stp>
        <tr r="H204" s="1"/>
      </tp>
      <tp>
        <v>8.11</v>
        <stp/>
        <stp>MARK</stp>
        <stp>PCT</stp>
        <tr r="C167" s="1"/>
      </tp>
      <tp t="s">
        <v>0.00%</v>
        <stp/>
        <stp>MARK_PERCENT_CHANGE</stp>
        <stp>LAES</stp>
        <tr r="E83" s="1"/>
      </tp>
      <tp>
        <v>3.06</v>
        <stp/>
        <stp>MARK</stp>
        <stp>PBM</stp>
        <tr r="C79" s="1"/>
        <tr r="C213" s="1"/>
      </tp>
      <tp>
        <v>0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0.00%</v>
        <stp/>
        <stp>MARK_PERCENT_CHANGE</stp>
        <stp>PACB</stp>
        <tr r="E226" s="1"/>
      </tp>
      <tp>
        <v>34834</v>
        <stp/>
        <stp>VOLUME</stp>
        <stp>SES</stp>
        <tr r="F126" s="1"/>
      </tp>
      <tp>
        <v>161</v>
        <stp/>
        <stp>VOLUME</stp>
        <stp>SMX</stp>
        <tr r="F118" s="1"/>
      </tp>
      <tp>
        <v>308</v>
        <stp/>
        <stp>VOLUME</stp>
        <stp>SPT</stp>
        <tr r="F219" s="1"/>
      </tp>
      <tp>
        <v>176</v>
        <stp/>
        <stp>VOLUME</stp>
        <stp>SST</stp>
        <tr r="F178" s="1"/>
      </tp>
      <tp t="s">
        <v>7.2 M</v>
        <stp/>
        <stp>MARKET_CAP</stp>
        <stp>AUUD</stp>
        <tr r="I181" s="1"/>
      </tp>
      <tp>
        <v>7.46</v>
        <stp/>
        <stp>BID</stp>
        <stp>QS</stp>
        <tr r="G132" s="1"/>
        <tr r="G170" s="1"/>
      </tp>
      <tp>
        <v>2.12</v>
        <stp/>
        <stp>ASK</stp>
        <stp>RR</stp>
        <tr r="H103" s="1"/>
      </tp>
      <tp>
        <v>9.75</v>
        <stp/>
        <stp>BID</stp>
        <stp>PD</stp>
        <tr r="G231" s="1"/>
      </tp>
      <tp>
        <v>9.8000000000000007</v>
        <stp/>
        <stp>ASK</stp>
        <stp>PD</stp>
        <tr r="H231" s="1"/>
      </tp>
      <tp>
        <v>2.1</v>
        <stp/>
        <stp>BID</stp>
        <stp>RR</stp>
        <tr r="G103" s="1"/>
      </tp>
      <tp>
        <v>7.52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9.49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9.58</v>
        <stp/>
        <stp>ASK</stp>
        <stp>TE</stp>
        <tr r="H94" s="1"/>
      </tp>
      <tp t="s">
        <v>5.6 M</v>
        <stp/>
        <stp>MARKET_CAP</stp>
        <stp>HUBC</stp>
        <tr r="I190" s="1"/>
      </tp>
      <tp t="s">
        <v>646 M</v>
        <stp/>
        <stp>MARKET_CAP</stp>
        <stp>NUAI</stp>
        <tr r="I93" s="1"/>
      </tp>
      <tp>
        <v>4.6900000000000004</v>
        <stp/>
        <stp>BID</stp>
        <stp>MX</stp>
        <tr r="G113" s="1"/>
      </tp>
      <tp>
        <v>4.8899999999999997</v>
        <stp/>
        <stp>ASK</stp>
        <stp>MX</stp>
        <tr r="H113" s="1"/>
      </tp>
      <tp>
        <v>1.31</v>
        <stp/>
        <stp>BID</stp>
        <stp>EU</stp>
        <tr r="G120" s="1"/>
      </tp>
      <tp t="s">
        <v>244 M</v>
        <stp/>
        <stp>MARKET_CAP</stp>
        <stp>FULC</stp>
        <tr r="I164" s="1"/>
      </tp>
      <tp t="s">
        <v>3,467 M</v>
        <stp/>
        <stp>MARKET_CAP</stp>
        <stp>BULL</stp>
        <tr r="I89" s="1"/>
      </tp>
      <tp>
        <v>1.33</v>
        <stp/>
        <stp>ASK</stp>
        <stp>EU</stp>
        <tr r="H120" s="1"/>
      </tp>
      <tp>
        <v>0.67300000000000004</v>
        <stp/>
        <stp>ASK</stp>
        <stp>YCBD</stp>
        <tr r="H176" s="1"/>
      </tp>
      <tp>
        <v>0.75639999999999996</v>
        <stp/>
        <stp>BID</stp>
        <stp>BYND</stp>
        <tr r="G214" s="1"/>
      </tp>
      <tp>
        <v>0</v>
        <stp/>
        <stp>MARK_CHANGE</stp>
        <stp>AUUD</stp>
        <tr r="D181" s="1"/>
      </tp>
      <tp>
        <v>1.21</v>
        <stp/>
        <stp>ASK</stp>
        <stp>UCAR</stp>
        <tr r="H172" s="1"/>
      </tp>
      <tp>
        <v>1.56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6.14</v>
        <stp/>
        <stp>ASK</stp>
        <stp>ACDC</stp>
        <tr r="H142" s="1"/>
      </tp>
      <tp>
        <v>4.74</v>
        <stp/>
        <stp>ASK</stp>
        <stp>ACHR</stp>
        <tr r="H107" s="1"/>
      </tp>
      <tp>
        <v>7.12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5.76</v>
        <stp/>
        <stp>ASK</stp>
        <stp>ACRS</stp>
        <tr r="H135" s="1"/>
      </tp>
      <tp t="s">
        <v>ASCENT SOLAR TECHNOL Equity</v>
        <stp/>
        <stp>DESCRIPTION</stp>
        <stp>ASTI</stp>
        <tr r="B174" s="1"/>
        <tr r="B131" s="1"/>
      </tp>
      <tp t="s">
        <v>GOLDEN SUN TECHNOLOG A</v>
        <stp/>
        <stp>DESCRIPTION</stp>
        <stp>GSUN</stp>
        <tr r="B82" s="1"/>
      </tp>
      <tp>
        <v>-0.02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2.99</v>
        <stp/>
        <stp>ASK</stp>
        <stp>GCTS</stp>
        <tr r="H149" s="1"/>
      </tp>
      <tp>
        <v>0</v>
        <stp/>
        <stp>MARK_CHANGE</stp>
        <stp>NUAI</stp>
        <tr r="D93" s="1"/>
      </tp>
      <tp>
        <v>8.91</v>
        <stp/>
        <stp>BID</stp>
        <stp>KYTX</stp>
        <tr r="G207" s="1"/>
      </tp>
      <tp>
        <v>0.02</v>
        <stp/>
        <stp>MARK_CHANGE</stp>
        <stp>FULC</stp>
        <tr r="D164" s="1"/>
      </tp>
      <tp>
        <v>0</v>
        <stp/>
        <stp>MARK_CHANGE</stp>
        <stp>BULL</stp>
        <tr r="D89" s="1"/>
      </tp>
      <tp>
        <v>1.8</v>
        <stp/>
        <stp>ASK</stp>
        <stp>ACXP</stp>
        <tr r="H228" s="1"/>
      </tp>
      <tp>
        <v>1126</v>
        <stp/>
        <stp>VOLUME</stp>
        <stp>RES</stp>
        <tr r="F165" s="1"/>
      </tp>
      <tp>
        <v>7.56</v>
        <stp/>
        <stp>ASK</stp>
        <stp>RES</stp>
        <tr r="H165" s="1"/>
      </tp>
      <tp t="s">
        <v>0.00%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0.00%</v>
        <stp/>
        <stp>MARK_PERCENT_CHANGE</stp>
        <stp>SMX</stp>
        <tr r="E118" s="1"/>
      </tp>
      <tp t="s">
        <v>1.4 M</v>
        <stp/>
        <stp>MARKET_CAP</stp>
        <stp>JZXN</stp>
        <tr r="I91" s="1"/>
      </tp>
      <tp t="s">
        <v>196 M</v>
        <stp/>
        <stp>MARKET_CAP</stp>
        <stp>BZAI</stp>
        <tr r="I218" s="1"/>
      </tp>
      <tp t="s">
        <v>0.00%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+0.53%</v>
        <stp/>
        <stp>MARK_PERCENT_CHANGE</stp>
        <stp>SPT</stp>
        <tr r="E219" s="1"/>
      </tp>
      <tp>
        <v>7.95</v>
        <stp/>
        <stp>ASK</stp>
        <stp>ULCC</stp>
        <tr r="H153" s="1"/>
      </tp>
      <tp>
        <v>1.29</v>
        <stp/>
        <stp>ASK</stp>
        <stp>ELAB</stp>
        <tr r="H119" s="1"/>
      </tp>
      <tp>
        <v>0.5</v>
        <stp/>
        <stp>ASK</stp>
        <stp>SLAI</stp>
        <tr r="H81" s="1"/>
      </tp>
      <tp>
        <v>4.1900000000000004</v>
        <stp/>
        <stp>ASK</stp>
        <stp>ELDN</stp>
        <tr r="H225" s="1"/>
      </tp>
      <tp>
        <v>2.57</v>
        <stp/>
        <stp>ASK</stp>
        <stp>SLDP</stp>
        <tr r="H125" s="1"/>
      </tp>
      <tp>
        <v>1.7</v>
        <stp/>
        <stp>ASK</stp>
        <stp>WLDS</stp>
        <tr r="H215" s="1"/>
      </tp>
      <tp>
        <v>8.69</v>
        <stp/>
        <stp>ASK</stp>
        <stp>MLEC</stp>
        <tr r="H143" s="1"/>
      </tp>
      <tp t="s">
        <v>0.00%</v>
        <stp/>
        <stp>MARK_PERCENT_CHANGE</stp>
        <stp>SOUN</stp>
        <tr r="E99" s="1"/>
      </tp>
      <tp>
        <v>1.55</v>
        <stp/>
        <stp>ASK</stp>
        <stp>CLIK</stp>
        <tr r="H193" s="1"/>
      </tp>
      <tp>
        <v>2.2000000000000002</v>
        <stp/>
        <stp>ASK</stp>
        <stp>GLND</stp>
        <tr r="H156" s="1"/>
      </tp>
      <tp>
        <v>1.35</v>
        <stp/>
        <stp>ASK</stp>
        <stp>SLNH</stp>
        <tr r="H148" s="1"/>
        <tr r="H88" s="1"/>
      </tp>
      <tp t="s">
        <v>0.00%</v>
        <stp/>
        <stp>MARK_PERCENT_CHANGE</stp>
        <stp>KOPN</stp>
        <tr r="E169" s="1"/>
      </tp>
      <tp>
        <v>0</v>
        <stp/>
        <stp>MARK_CHANGE</stp>
        <stp>JZXN</stp>
        <tr r="D91" s="1"/>
      </tp>
      <tp t="s">
        <v>0.00%</v>
        <stp/>
        <stp>MARK_PERCENT_CHANGE</stp>
        <stp>EOSE</stp>
        <tr r="E102" s="1"/>
      </tp>
      <tp t="s">
        <v>0.00%</v>
        <stp/>
        <stp>MARK_PERCENT_CHANGE</stp>
        <stp>DOMO</stp>
        <tr r="E227" s="1"/>
      </tp>
      <tp t="s">
        <v>0.00%</v>
        <stp/>
        <stp>MARK_PERCENT_CHANGE</stp>
        <stp>ROLR</stp>
        <tr r="E114" s="1"/>
      </tp>
      <tp>
        <v>0.98950000000000005</v>
        <stp/>
        <stp>ASK</stp>
        <stp>ELPW</stp>
        <tr r="H201" s="1"/>
        <tr r="H73" s="1"/>
      </tp>
      <tp t="s">
        <v>+2.40%</v>
        <stp/>
        <stp>MARK_PERCENT_CHANGE</stp>
        <stp>EONR</stp>
        <tr r="E111" s="1"/>
      </tp>
      <tp>
        <v>2.74</v>
        <stp/>
        <stp>ASK</stp>
        <stp>PLUG</stp>
        <tr r="H104" s="1"/>
      </tp>
      <tp>
        <v>0</v>
        <stp/>
        <stp>MARK_CHANGE</stp>
        <stp>BZAI</stp>
        <tr r="D218" s="1"/>
      </tp>
      <tp>
        <v>9.7100000000000009</v>
        <stp/>
        <stp>BID</stp>
        <stp>AVTR</stp>
        <tr r="G211" s="1"/>
      </tp>
      <tp t="s">
        <v>+0.34%</v>
        <stp/>
        <stp>MARK_PERCENT_CHANGE</stp>
        <stp>JOBY</stp>
        <tr r="E105" s="1"/>
      </tp>
      <tp t="s">
        <v>0.00%</v>
        <stp/>
        <stp>MARK_PERCENT_CHANGE</stp>
        <stp>LOBO</stp>
        <tr r="E75" s="1"/>
      </tp>
      <tp>
        <v>0.96960000000000002</v>
        <stp/>
        <stp>ASK</stp>
        <stp>SES</stp>
        <tr r="H126" s="1"/>
      </tp>
      <tp>
        <v>0</v>
        <stp/>
        <stp>MARK_CHANGE</stp>
        <stp>NPT</stp>
        <tr r="D183" s="1"/>
      </tp>
      <tp t="s">
        <v>0.00%</v>
        <stp/>
        <stp>MARK_PERCENT_CHANGE</stp>
        <stp>RES</stp>
        <tr r="E165" s="1"/>
      </tp>
      <tp>
        <v>13.87</v>
        <stp/>
        <stp>ASK</stp>
        <stp>SMX</stp>
        <tr r="H118" s="1"/>
      </tp>
      <tp>
        <v>8</v>
        <stp/>
        <stp>ASK</stp>
        <stp>SPT</stp>
        <tr r="H219" s="1"/>
      </tp>
      <tp>
        <v>2.66</v>
        <stp/>
        <stp>ASK</stp>
        <stp>SST</stp>
        <tr r="H178" s="1"/>
      </tp>
      <tp>
        <v>3</v>
        <stp/>
        <stp>BID</stp>
        <stp>PBM</stp>
        <tr r="G213" s="1"/>
        <tr r="G79" s="1"/>
      </tp>
      <tp>
        <v>7.76</v>
        <stp/>
        <stp>BID</stp>
        <stp>PCT</stp>
        <tr r="G167" s="1"/>
      </tp>
      <tp>
        <v>4.96</v>
        <stp/>
        <stp>ASK</stp>
        <stp>AMBP</stp>
        <tr r="H159" s="1"/>
      </tp>
      <tp>
        <v>8.75</v>
        <stp/>
        <stp>ASK</stp>
        <stp>NMAX</stp>
        <tr r="H185" s="1"/>
        <tr r="H78" s="1"/>
      </tp>
      <tp>
        <v>0.76980000000000004</v>
        <stp/>
        <stp>ASK</stp>
        <stp>TMDE</stp>
        <tr r="H116" s="1"/>
      </tp>
      <tp>
        <v>0.68500000000000005</v>
        <stp/>
        <stp>ASK</stp>
        <stp>PMEC</stp>
        <tr r="H129" s="1"/>
      </tp>
      <tp t="s">
        <v>+1.19%</v>
        <stp/>
        <stp>MARK_PERCENT_CHANGE</stp>
        <stp>MNTS</stp>
        <tr r="E145" s="1"/>
      </tp>
      <tp t="s">
        <v>0.00%</v>
        <stp/>
        <stp>MARK_PERCENT_CHANGE</stp>
        <stp>ZNTL</stp>
        <tr r="E166" s="1"/>
      </tp>
      <tp t="s">
        <v>0.00%</v>
        <stp/>
        <stp>MARK_PERCENT_CHANGE</stp>
        <stp>ENVX</stp>
        <tr r="E110" s="1"/>
      </tp>
      <tp t="s">
        <v>0.00%</v>
        <stp/>
        <stp>MARK_PERCENT_CHANGE</stp>
        <stp>ENVB</stp>
        <tr r="E177" s="1"/>
      </tp>
      <tp>
        <v>2.21</v>
        <stp/>
        <stp>ASK</stp>
        <stp>CMND</stp>
        <tr r="H77" s="1"/>
      </tp>
      <tp t="s">
        <v>0.00%</v>
        <stp/>
        <stp>MARK_PERCENT_CHANGE</stp>
        <stp>GNPX</stp>
        <tr r="E160" s="1"/>
      </tp>
      <tp>
        <v>0.52500000000000002</v>
        <stp/>
        <stp>ASK</stp>
        <stp>RMSG</stp>
        <tr r="H202" s="1"/>
      </tp>
      <tp>
        <v>7.1</v>
        <stp/>
        <stp>ASK</stp>
        <stp>IMSR</stp>
        <tr r="H127" s="1"/>
      </tp>
      <tp t="s">
        <v>+3.45%</v>
        <stp/>
        <stp>MARK_PERCENT_CHANGE</stp>
        <stp>NNOX</stp>
        <tr r="E212" s="1"/>
      </tp>
      <tp>
        <v>14.5</v>
        <stp/>
        <stp>ASK</stp>
        <stp>CMPS</stp>
        <tr r="H137" s="1"/>
      </tp>
      <tp t="s">
        <v>0.00%</v>
        <stp/>
        <stp>MARK_PERCENT_CHANGE</stp>
        <stp>ANNA</stp>
        <tr r="E85" s="1"/>
      </tp>
      <tp t="s">
        <v>0.00%</v>
        <stp/>
        <stp>MARK_PERCENT_CHANGE</stp>
        <stp>INDI</stp>
        <tr r="E161" s="1"/>
      </tp>
      <tp t="s">
        <v>0.00%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3.15</v>
        <stp/>
        <stp>ASK</stp>
        <stp>PBM</stp>
        <tr r="H79" s="1"/>
        <tr r="H213" s="1"/>
      </tp>
      <tp>
        <v>8.2899999999999991</v>
        <stp/>
        <stp>ASK</stp>
        <stp>PCT</stp>
        <tr r="H167" s="1"/>
      </tp>
      <tp>
        <v>2.2999999999999998</v>
        <stp/>
        <stp>BID</stp>
        <stp>SST</stp>
        <tr r="G178" s="1"/>
      </tp>
      <tp>
        <v>7.59</v>
        <stp/>
        <stp>BID</stp>
        <stp>SPT</stp>
        <tr r="G219" s="1"/>
      </tp>
      <tp>
        <v>13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0.96</v>
        <stp/>
        <stp>BID</stp>
        <stp>SES</stp>
        <tr r="G126" s="1"/>
      </tp>
      <tp>
        <v>28.55</v>
        <stp/>
        <stp>ASK</stp>
        <stp>QNCX</stp>
        <tr r="H154" s="1"/>
      </tp>
      <tp>
        <v>4.7300000000000004</v>
        <stp/>
        <stp>BID</stp>
        <stp>CTOS</stp>
        <tr r="G157" s="1"/>
      </tp>
      <tp>
        <v>4.53</v>
        <stp/>
        <stp>ASK</stp>
        <stp>INDI</stp>
        <tr r="H161" s="1"/>
      </tp>
      <tp>
        <v>2.97</v>
        <stp/>
        <stp>ASK</stp>
        <stp>ANNA</stp>
        <tr r="H85" s="1"/>
      </tp>
      <tp t="s">
        <v>+0.21%</v>
        <stp/>
        <stp>MARK_PERCENT_CHANGE</stp>
        <stp>CMPS</stp>
        <tr r="E137" s="1"/>
      </tp>
      <tp>
        <v>1.3</v>
        <stp/>
        <stp>ASK</stp>
        <stp>NNOX</stp>
        <tr r="H212" s="1"/>
      </tp>
      <tp t="s">
        <v>0.00%</v>
        <stp/>
        <stp>MARK_PERCENT_CHANGE</stp>
        <stp>IMSR</stp>
        <tr r="E127" s="1"/>
      </tp>
      <tp t="s">
        <v>0.00%</v>
        <stp/>
        <stp>MARK_PERCENT_CHANGE</stp>
        <stp>RMSG</stp>
        <tr r="E202" s="1"/>
      </tp>
      <tp>
        <v>1.79</v>
        <stp/>
        <stp>BID</stp>
        <stp>BTBT</stp>
        <tr r="G100" s="1"/>
      </tp>
      <tp>
        <v>0.55010000000000003</v>
        <stp/>
        <stp>ASK</stp>
        <stp>GNPX</stp>
        <tr r="H160" s="1"/>
      </tp>
      <tp t="s">
        <v>0.00%</v>
        <stp/>
        <stp>MARK_PERCENT_CHANGE</stp>
        <stp>CMND</stp>
        <tr r="E77" s="1"/>
      </tp>
      <tp>
        <v>1.4</v>
        <stp/>
        <stp>ASK</stp>
        <stp>ENVB</stp>
        <tr r="H177" s="1"/>
      </tp>
      <tp>
        <v>6.21</v>
        <stp/>
        <stp>ASK</stp>
        <stp>ENVX</stp>
        <tr r="H110" s="1"/>
      </tp>
      <tp>
        <v>5.05</v>
        <stp/>
        <stp>ASK</stp>
        <stp>ZNTL</stp>
        <tr r="H166" s="1"/>
      </tp>
      <tp>
        <v>6.88</v>
        <stp/>
        <stp>ASK</stp>
        <stp>MNTS</stp>
        <tr r="H145" s="1"/>
      </tp>
      <tp t="s">
        <v>0.00%</v>
        <stp/>
        <stp>MARK_PERCENT_CHANGE</stp>
        <stp>PMEC</stp>
        <tr r="E129" s="1"/>
      </tp>
      <tp t="s">
        <v>0.00%</v>
        <stp/>
        <stp>MARK_PERCENT_CHANGE</stp>
        <stp>TMDE</stp>
        <tr r="E116" s="1"/>
      </tp>
      <tp t="s">
        <v>0.00%</v>
        <stp/>
        <stp>MARK_PERCENT_CHANGE</stp>
        <stp>NMAX</stp>
        <tr r="E78" s="1"/>
        <tr r="E185" s="1"/>
      </tp>
      <tp>
        <v>11</v>
        <stp/>
        <stp>BID</stp>
        <stp>NTSK</stp>
        <tr r="G224" s="1"/>
      </tp>
      <tp>
        <v>17.2</v>
        <stp/>
        <stp>BID</stp>
        <stp>FTRE</stp>
        <tr r="G200" s="1"/>
      </tp>
      <tp t="s">
        <v>0.00%</v>
        <stp/>
        <stp>MARK_PERCENT_CHANGE</stp>
        <stp>AMBP</stp>
        <tr r="E159" s="1"/>
      </tp>
      <tp>
        <v>-0.19</v>
        <stp/>
        <stp>MARK_CHANGE</stp>
        <stp>LPL</stp>
        <tr r="D186" s="1"/>
      </tp>
      <tp t="s">
        <v>0.00%</v>
        <stp/>
        <stp>MARK_PERCENT_CHANGE</stp>
        <stp>PCT</stp>
        <tr r="E167" s="1"/>
      </tp>
      <tp t="s">
        <v>0.00%</v>
        <stp/>
        <stp>MARK_PERCENT_CHANGE</stp>
        <stp>PBM</stp>
        <tr r="E79" s="1"/>
        <tr r="E213" s="1"/>
      </tp>
      <tp t="s">
        <v>542 M</v>
        <stp/>
        <stp>MARKET_CAP</stp>
        <stp>KYTX</stp>
        <tr r="I207" s="1"/>
      </tp>
      <tp>
        <v>0.04</v>
        <stp/>
        <stp>MARK_CHANGE</stp>
        <stp>LAC</stp>
        <tr r="D90" s="1"/>
      </tp>
      <tp t="s">
        <v>530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4.5</v>
        <stp/>
        <stp>BID</stp>
        <stp>RES</stp>
        <tr r="G165" s="1"/>
      </tp>
      <tp t="s">
        <v>387 M</v>
        <stp/>
        <stp>MARKET_CAP</stp>
        <stp>BYND</stp>
        <tr r="I214" s="1"/>
      </tp>
      <tp>
        <v>0.63980000000000004</v>
        <stp/>
        <stp>ASK</stp>
        <stp>LOBO</stp>
        <tr r="H75" s="1"/>
      </tp>
      <tp>
        <v>8.9600000000000009</v>
        <stp/>
        <stp>ASK</stp>
        <stp>JOBY</stp>
        <tr r="H105" s="1"/>
      </tp>
      <tp>
        <v>3.68</v>
        <stp/>
        <stp>BID</stp>
        <stp>FULC</stp>
        <tr r="G164" s="1"/>
      </tp>
      <tp>
        <v>6.5</v>
        <stp/>
        <stp>BID</stp>
        <stp>BULL</stp>
        <tr r="G89" s="1"/>
      </tp>
      <tp>
        <v>0</v>
        <stp/>
        <stp>MARK_CHANGE</stp>
        <stp>KYTX</stp>
        <tr r="D207" s="1"/>
      </tp>
      <tp t="s">
        <v>+0.74%</v>
        <stp/>
        <stp>MARK_PERCENT_CHANGE</stp>
        <stp>PLUG</stp>
        <tr r="E104" s="1"/>
      </tp>
      <tp>
        <v>6.32</v>
        <stp/>
        <stp>BID</stp>
        <stp>NUAI</stp>
        <tr r="G93" s="1"/>
      </tp>
      <tp>
        <v>0.46829999999999999</v>
        <stp/>
        <stp>ASK</stp>
        <stp>EONR</stp>
        <tr r="H111" s="1"/>
      </tp>
      <tp t="s">
        <v>0.00%</v>
        <stp/>
        <stp>MARK_PERCENT_CHANGE</stp>
        <stp>ELPW</stp>
        <tr r="E201" s="1"/>
        <tr r="E73" s="1"/>
      </tp>
      <tp>
        <v>6.14</v>
        <stp/>
        <stp>ASK</stp>
        <stp>ROLR</stp>
        <tr r="H114" s="1"/>
      </tp>
      <tp>
        <v>1.56</v>
        <stp/>
        <stp>BID</stp>
        <stp>HUBC</stp>
        <tr r="G190" s="1"/>
      </tp>
      <tp>
        <v>3.2</v>
        <stp/>
        <stp>ASK</stp>
        <stp>DOMO</stp>
        <tr r="H227" s="1"/>
      </tp>
      <tp>
        <v>5.9</v>
        <stp/>
        <stp>ASK</stp>
        <stp>EOSE</stp>
        <tr r="H102" s="1"/>
      </tp>
      <tp>
        <v>4.57</v>
        <stp/>
        <stp>ASK</stp>
        <stp>KOPN</stp>
        <tr r="H169" s="1"/>
      </tp>
      <tp t="s">
        <v>0.00%</v>
        <stp/>
        <stp>MARK_PERCENT_CHANGE</stp>
        <stp>SLNH</stp>
        <tr r="E88" s="1"/>
        <tr r="E148" s="1"/>
      </tp>
      <tp t="s">
        <v>0.00%</v>
        <stp/>
        <stp>MARK_PERCENT_CHANGE</stp>
        <stp>GLND</stp>
        <tr r="E156" s="1"/>
      </tp>
      <tp t="s">
        <v>0.00%</v>
        <stp/>
        <stp>MARK_PERCENT_CHANGE</stp>
        <stp>CLIK</stp>
        <tr r="E193" s="1"/>
      </tp>
      <tp>
        <v>0</v>
        <stp/>
        <stp>MARK_CHANGE</stp>
        <stp>RYAM</stp>
        <tr r="D134" s="1"/>
      </tp>
      <tp>
        <v>6.48</v>
        <stp/>
        <stp>ASK</stp>
        <stp>SOUN</stp>
        <tr r="H99" s="1"/>
      </tp>
      <tp>
        <v>1.29</v>
        <stp/>
        <stp>BID</stp>
        <stp>AUUD</stp>
        <tr r="G181" s="1"/>
      </tp>
      <tp>
        <v>6.4000000000000003E-3</v>
        <stp/>
        <stp>MARK_CHANGE</stp>
        <stp>BYND</stp>
        <tr r="D214" s="1"/>
      </tp>
      <tp t="s">
        <v>0.00%</v>
        <stp/>
        <stp>MARK_PERCENT_CHANGE</stp>
        <stp>MLEC</stp>
        <tr r="E143" s="1"/>
      </tp>
      <tp t="s">
        <v>-0.77%</v>
        <stp/>
        <stp>MARK_PERCENT_CHANGE</stp>
        <stp>SLDP</stp>
        <tr r="E125" s="1"/>
      </tp>
      <tp t="s">
        <v>0.00%</v>
        <stp/>
        <stp>MARK_PERCENT_CHANGE</stp>
        <stp>WLDS</stp>
        <tr r="E215" s="1"/>
      </tp>
      <tp t="s">
        <v>0.00%</v>
        <stp/>
        <stp>MARK_PERCENT_CHANGE</stp>
        <stp>ELDN</stp>
        <tr r="E225" s="1"/>
      </tp>
      <tp t="s">
        <v>0.00%</v>
        <stp/>
        <stp>MARK_PERCENT_CHANGE</stp>
        <stp>SLAI</stp>
        <tr r="E81" s="1"/>
      </tp>
      <tp t="s">
        <v>0.00%</v>
        <stp/>
        <stp>MARK_PERCENT_CHANGE</stp>
        <stp>ELAB</stp>
        <tr r="E119" s="1"/>
      </tp>
      <tp t="s">
        <v>0.00%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9</v>
        <stp/>
        <stp>BID</stp>
        <stp>FRMI</stp>
        <tr r="G158" s="1"/>
      </tp>
      <tp>
        <v>1.61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1.1100000000000001</v>
        <stp/>
        <stp>BID</stp>
        <stp>LRHC</stp>
        <tr r="G187" s="1"/>
      </tp>
      <tp>
        <v>5.97</v>
        <stp/>
        <stp>BID</stp>
        <stp>KREF</stp>
        <tr r="G188" s="1"/>
      </tp>
      <tp>
        <v>1.1499999999999999</v>
        <stp/>
        <stp>BID</stp>
        <stp>SRFM</stp>
        <tr r="G95" s="1"/>
        <tr r="G232" s="1"/>
      </tp>
      <tp>
        <v>9.94</v>
        <stp/>
        <stp>ASK</stp>
        <stp>SHLS</stp>
        <tr r="H155" s="1"/>
      </tp>
      <tp>
        <v>0.70309999999999995</v>
        <stp/>
        <stp>BID</stp>
        <stp>ORBS</stp>
        <tr r="G92" s="1"/>
      </tp>
      <tp>
        <v>0.4864</v>
        <stp/>
        <stp>BID</stp>
        <stp>PRZO</stp>
        <tr r="G124" s="1"/>
      </tp>
      <tp>
        <v>10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7.41</v>
        <stp/>
        <stp>BID</stp>
        <stp>TWI</stp>
        <tr r="G136" s="1"/>
      </tp>
      <tp>
        <v>0.82</v>
        <stp/>
        <stp>BID</stp>
        <stp>TRX</stp>
        <tr r="G97" s="1"/>
      </tp>
      <tp>
        <v>4.3600000000000003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0.83</v>
        <stp/>
        <stp>ASK</stp>
        <stp>BIAF</stp>
        <tr r="H229" s="1"/>
      </tp>
      <tp>
        <v>7.65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2.81</v>
        <stp/>
        <stp>ASK</stp>
        <stp>SIDU</stp>
        <tr r="H223" s="1"/>
        <tr r="H115" s="1"/>
      </tp>
      <tp>
        <v>0.67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7.05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3.64</v>
        <stp/>
        <stp>ASK</stp>
        <stp>HIVE</stp>
        <tr r="H98" s="1"/>
      </tp>
      <tp t="s">
        <v>0.00%</v>
        <stp/>
        <stp>MARK_PERCENT_CHANGE</stp>
        <stp>FJET</stp>
        <tr r="E195" s="1"/>
      </tp>
      <tp>
        <v>0.42580000000000001</v>
        <stp/>
        <stp>BID</stp>
        <stp>GSUN</stp>
        <tr r="G82" s="1"/>
      </tp>
      <tp>
        <v>5</v>
        <stp/>
        <stp>BID</stp>
        <stp>ASTI</stp>
        <tr r="G174" s="1"/>
        <tr r="G131" s="1"/>
      </tp>
      <tp>
        <v>1.92</v>
        <stp/>
        <stp>ASK</stp>
        <stp>AIXI</stp>
        <tr r="H130" s="1"/>
        <tr r="H179" s="1"/>
      </tp>
      <tp>
        <v>0.4476</v>
        <stp/>
        <stp>ASK</stp>
        <stp>BIYA</stp>
        <tr r="H71" s="1"/>
      </tp>
      <tp>
        <v>0.18129999999999999</v>
        <stp/>
        <stp>BID</stp>
        <stp>ZSPC</stp>
        <tr r="G69" s="1"/>
      </tp>
      <tp>
        <v>-0.02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12.27</v>
        <stp/>
        <stp>ASK</stp>
        <stp>TWI</stp>
        <tr r="H136" s="1"/>
      </tp>
      <tp>
        <v>0.83640000000000003</v>
        <stp/>
        <stp>ASK</stp>
        <stp>TRX</stp>
        <tr r="H97" s="1"/>
      </tp>
      <tp>
        <v>0</v>
        <stp/>
        <stp>MARK_CHANGE</stp>
        <stp>IKT</stp>
        <tr r="D144" s="1"/>
      </tp>
      <tp>
        <v>0</v>
        <stp/>
        <stp>MARK_CHANGE</stp>
        <stp>INV</stp>
        <tr r="D163" s="1"/>
      </tp>
      <tp>
        <v>5.64</v>
        <stp/>
        <stp>BID</stp>
        <stp>CPIX</stp>
        <tr r="G180" s="1"/>
      </tp>
      <tp t="s">
        <v>-19.93%</v>
        <stp/>
        <stp>MARK_PERCENT_CHANGE</stp>
        <stp>BIYA</stp>
        <tr r="E71" s="1"/>
      </tp>
      <tp t="s">
        <v>+3.26%</v>
        <stp/>
        <stp>MARK_PERCENT_CHANGE</stp>
        <stp>AIXI</stp>
        <tr r="E179" s="1"/>
        <tr r="E130" s="1"/>
      </tp>
      <tp t="s">
        <v>BLAIZE HLDGS INC</v>
        <stp/>
        <stp>DESCRIPTION</stp>
        <stp>BZAI</stp>
        <tr r="B218" s="1"/>
      </tp>
      <tp>
        <v>5.7</v>
        <stp/>
        <stp>ASK</stp>
        <stp>FJET</stp>
        <tr r="H195" s="1"/>
      </tp>
      <tp>
        <v>4.54</v>
        <stp/>
        <stp>BID</stp>
        <stp>OPEN</stp>
        <tr r="G101" s="1"/>
      </tp>
      <tp>
        <v>1.91</v>
        <stp/>
        <stp>BID</stp>
        <stp>RPGL</stp>
        <tr r="G76" s="1"/>
      </tp>
      <tp t="s">
        <v>0.00%</v>
        <stp/>
        <stp>MARK_PERCENT_CHANGE</stp>
        <stp>HIVE</stp>
        <tr r="E98" s="1"/>
      </tp>
      <tp t="s">
        <v>-1.18%</v>
        <stp/>
        <stp>MARK_PERCENT_CHANGE</stp>
        <stp>KIDZ</stp>
        <tr r="E74" s="1"/>
      </tp>
      <tp t="s">
        <v>0.00%</v>
        <stp/>
        <stp>MARK_PERCENT_CHANGE</stp>
        <stp>SIDU</stp>
        <tr r="E223" s="1"/>
        <tr r="E115" s="1"/>
      </tp>
      <tp t="s">
        <v>JIUZI HLDGS INC</v>
        <stp/>
        <stp>DESCRIPTION</stp>
        <stp>JZXN</stp>
        <tr r="B91" s="1"/>
      </tp>
      <tp t="s">
        <v>0.00%</v>
        <stp/>
        <stp>MARK_PERCENT_CHANGE</stp>
        <stp>BIAF</stp>
        <tr r="E229" s="1"/>
      </tp>
      <tp>
        <v>2.2999999999999998</v>
        <stp/>
        <stp>BID</stp>
        <stp>IPST</stp>
        <tr r="G182" s="1"/>
      </tp>
      <tp>
        <v>0</v>
        <stp/>
        <stp>MARK_CHANGE</stp>
        <stp>HTZ</stp>
        <tr r="D230" s="1"/>
      </tp>
      <tp t="s">
        <v>0.00%</v>
        <stp/>
        <stp>MARK_PERCENT_CHANGE</stp>
        <stp>TWI</stp>
        <tr r="E136" s="1"/>
      </tp>
      <tp t="s">
        <v>0.00%</v>
        <stp/>
        <stp>MARK_PERCENT_CHANGE</stp>
        <stp>TRX</stp>
        <tr r="E97" s="1"/>
      </tp>
      <tp>
        <v>0</v>
        <stp/>
        <stp>MARK_CHANGE</stp>
        <stp>HLX</stp>
        <tr r="D150" s="1"/>
      </tp>
      <tp t="s">
        <v>0.00%</v>
        <stp/>
        <stp>MARK_PERCENT_CHANGE</stp>
        <stp>SHLS</stp>
        <tr r="E155" s="1"/>
      </tp>
      <tp t="s">
        <v>9,170 M</v>
        <stp/>
        <stp>MARKET_CAP</stp>
        <stp>IBRX</stp>
        <tr r="I87" s="1"/>
      </tp>
      <tp>
        <v>8.3800000000000008</v>
        <stp/>
        <stp>ASK</stp>
        <stp>JEM</stp>
        <tr r="H199" s="1"/>
      </tp>
      <tp t="s">
        <v>1,963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724 M</v>
        <stp/>
        <stp>MARKET_CAP</stp>
        <stp>ABTC</stp>
        <tr r="I106" s="1"/>
      </tp>
      <tp t="s">
        <v>3.4 M</v>
        <stp/>
        <stp>MARKET_CAP</stp>
        <stp>ABTS</stp>
        <tr r="I194" s="1"/>
      </tp>
      <tp t="s">
        <v>4.8 M</v>
        <stp/>
        <stp>MARKET_CAP</stp>
        <stp>WBUY</stp>
        <tr r="I204" s="1"/>
      </tp>
      <tp>
        <v>2.09</v>
        <stp/>
        <stp>BID</stp>
        <stp>IPW</stp>
        <tr r="G198" s="1"/>
      </tp>
      <tp>
        <v>4.9800000000000004</v>
        <stp/>
        <stp>BID</stp>
        <stp>INV</stp>
        <tr r="G163" s="1"/>
      </tp>
      <tp t="s">
        <v>1,758 M</v>
        <stp/>
        <stp>MARKET_CAP</stp>
        <stp>BBAI</stp>
        <tr r="I84" s="1"/>
      </tp>
      <tp>
        <v>1.93</v>
        <stp/>
        <stp>BID</stp>
        <stp>IKT</stp>
        <tr r="G144" s="1"/>
      </tp>
      <tp t="s">
        <v>2,132 M</v>
        <stp/>
        <stp>MARKET_CAP</stp>
        <stp>JBLU</stp>
        <tr r="I151" s="1"/>
      </tp>
      <tp t="s">
        <v>8,152 M</v>
        <stp/>
        <stp>MARKET_CAP</stp>
        <stp>MBLY</stp>
        <tr r="I171" s="1"/>
      </tp>
      <tp>
        <v>1.81</v>
        <stp/>
        <stp>ASK</stp>
        <stp>BTBT</stp>
        <tr r="H100" s="1"/>
      </tp>
      <tp>
        <v>5.8999999999999999E-3</v>
        <stp/>
        <stp>MARK_CHANGE</stp>
        <stp>ABTC</stp>
        <tr r="D106" s="1"/>
      </tp>
      <tp>
        <v>0</v>
        <stp/>
        <stp>MARK_CHANGE</stp>
        <stp>ABTS</stp>
        <tr r="D194" s="1"/>
      </tp>
      <tp>
        <v>1.2</v>
        <stp/>
        <stp>BID</stp>
        <stp>NNOX</stp>
        <tr r="G212" s="1"/>
      </tp>
      <tp>
        <v>2.65</v>
        <stp/>
        <stp>BID</stp>
        <stp>ANNA</stp>
        <tr r="G85" s="1"/>
      </tp>
      <tp>
        <v>0</v>
        <stp/>
        <stp>MARK_CHANGE</stp>
        <stp>WBUY</stp>
        <tr r="D204" s="1"/>
      </tp>
      <tp>
        <v>5.0000000000000001E-3</v>
        <stp/>
        <stp>MARK_CHANGE</stp>
        <stp>IBRX</stp>
        <tr r="D87" s="1"/>
      </tp>
      <tp>
        <v>-0.14000000000000001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4.4800000000000004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11.81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7.28</v>
        <stp/>
        <stp>BID</stp>
        <stp>QNCX</stp>
        <tr r="G154" s="1"/>
      </tp>
      <tp>
        <v>17.52</v>
        <stp/>
        <stp>ASK</stp>
        <stp>FTRE</stp>
        <tr r="H200" s="1"/>
      </tp>
      <tp>
        <v>11.41</v>
        <stp/>
        <stp>ASK</stp>
        <stp>NTSK</stp>
        <tr r="H224" s="1"/>
      </tp>
      <tp>
        <v>0</v>
        <stp/>
        <stp>MARK_CHANGE</stp>
        <stp>BBAI</stp>
        <tr r="D84" s="1"/>
      </tp>
      <tp>
        <v>3.41</v>
        <stp/>
        <stp>BID</stp>
        <stp>ZNTL</stp>
        <tr r="G166" s="1"/>
      </tp>
      <tp>
        <v>6.8</v>
        <stp/>
        <stp>BID</stp>
        <stp>MNTS</stp>
        <tr r="G145" s="1"/>
      </tp>
      <tp>
        <v>0</v>
        <stp/>
        <stp>MARK_CHANGE</stp>
        <stp>JBLU</stp>
        <tr r="D151" s="1"/>
      </tp>
      <tp>
        <v>-0.12</v>
        <stp/>
        <stp>MARK_CHANGE</stp>
        <stp>MBLY</stp>
        <tr r="D171" s="1"/>
      </tp>
      <tp>
        <v>1.35</v>
        <stp/>
        <stp>BID</stp>
        <stp>ENVB</stp>
        <tr r="G177" s="1"/>
      </tp>
      <tp>
        <v>6.06</v>
        <stp/>
        <stp>BID</stp>
        <stp>ENVX</stp>
        <tr r="G110" s="1"/>
      </tp>
      <tp>
        <v>0.495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739 M</v>
        <stp/>
        <stp>MARKET_CAP</stp>
        <stp>ACRS</stp>
        <tr r="I135" s="1"/>
      </tp>
      <tp t="s">
        <v>+109.82%</v>
        <stp/>
        <stp>MARK_PERCENT_CHANGE</stp>
        <stp>JEM</stp>
        <tr r="E199" s="1"/>
      </tp>
      <tp t="s">
        <v>270 M</v>
        <stp/>
        <stp>MARKET_CAP</stp>
        <stp>GCTS</stp>
        <tr r="I149" s="1"/>
      </tp>
      <tp>
        <v>2.2200000000000002</v>
        <stp/>
        <stp>BID</stp>
        <stp>HTZ</stp>
        <tr r="G230" s="1"/>
      </tp>
      <tp t="s">
        <v>6.7 M</v>
        <stp/>
        <stp>MARKET_CAP</stp>
        <stp>ACXP</stp>
        <tr r="I228" s="1"/>
      </tp>
      <tp t="s">
        <v>7.1 M</v>
        <stp/>
        <stp>MARKET_CAP</stp>
        <stp>YCBD</stp>
        <tr r="I176" s="1"/>
      </tp>
      <tp>
        <v>8.65</v>
        <stp/>
        <stp>BID</stp>
        <stp>HLX</stp>
        <tr r="G150" s="1"/>
      </tp>
      <tp t="s">
        <v>31 M</v>
        <stp/>
        <stp>MARKET_CAP</stp>
        <stp>UCAR</stp>
        <tr r="I172" s="1"/>
      </tp>
      <tp t="s">
        <v>518 M</v>
        <stp/>
        <stp>MARKET_CAP</stp>
        <stp>OCGN</stp>
        <tr r="I147" s="1"/>
      </tp>
      <tp t="s">
        <v>1,051 M</v>
        <stp/>
        <stp>MARKET_CAP</stp>
        <stp>ACDC</stp>
        <tr r="I142" s="1"/>
      </tp>
      <tp t="s">
        <v>3,608 M</v>
        <stp/>
        <stp>MARKET_CAP</stp>
        <stp>ACHR</stp>
        <tr r="I107" s="1"/>
      </tp>
      <tp>
        <v>1.66</v>
        <stp/>
        <stp>ASK</stp>
        <stp>HUBC</stp>
        <tr r="H190" s="1"/>
      </tp>
      <tp>
        <v>3.12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5.36</v>
        <stp/>
        <stp>BID</stp>
        <stp>ROLR</stp>
        <tr r="G114" s="1"/>
      </tp>
      <tp>
        <v>0</v>
        <stp/>
        <stp>MARK_CHANGE</stp>
        <stp>GCTS</stp>
        <tr r="D149" s="1"/>
      </tp>
      <tp>
        <v>6.43</v>
        <stp/>
        <stp>ASK</stp>
        <stp>NUAI</stp>
        <tr r="H93" s="1"/>
      </tp>
      <tp>
        <v>0.4521</v>
        <stp/>
        <stp>BID</stp>
        <stp>EONR</stp>
        <tr r="G111" s="1"/>
      </tp>
      <tp>
        <v>0.41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0.00%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10.57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4.74</v>
        <stp/>
        <stp>ASK</stp>
        <stp>FULC</stp>
        <tr r="H164" s="1"/>
      </tp>
      <tp>
        <v>6.54</v>
        <stp/>
        <stp>ASK</stp>
        <stp>BULL</stp>
        <tr r="H89" s="1"/>
      </tp>
      <tp>
        <v>0</v>
        <stp/>
        <stp>MARK_CHANGE</stp>
        <stp>ACXP</stp>
        <tr r="D228" s="1"/>
      </tp>
      <tp>
        <v>2.93</v>
        <stp/>
        <stp>MARK</stp>
        <stp>GTM</stp>
        <tr r="C209" s="1"/>
      </tp>
      <tp>
        <v>0.62060000000000004</v>
        <stp/>
        <stp>BID</stp>
        <stp>LOBO</stp>
        <tr r="G75" s="1"/>
      </tp>
      <tp>
        <v>8.9499999999999993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0</v>
        <stp/>
        <stp>MARK_CHANGE</stp>
        <stp>OCGN</stp>
        <tr r="D147" s="1"/>
      </tp>
      <tp>
        <v>0</v>
        <stp/>
        <stp>MARK_CHANGE</stp>
        <stp>ACDC</stp>
        <tr r="D142" s="1"/>
      </tp>
      <tp>
        <v>0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1.35</v>
        <stp/>
        <stp>ASK</stp>
        <stp>AUUD</stp>
        <tr r="H181" s="1"/>
      </tp>
      <tp>
        <v>-0.01</v>
        <stp/>
        <stp>MARK_CHANGE</stp>
        <stp>UCAR</stp>
        <tr r="D172" s="1"/>
      </tp>
      <tp>
        <v>6.47</v>
        <stp/>
        <stp>BID</stp>
        <stp>SOUN</stp>
        <tr r="G99" s="1"/>
      </tp>
      <tp>
        <v>4.4800000000000004</v>
        <stp/>
        <stp>BID</stp>
        <stp>KOPN</stp>
        <tr r="G169" s="1"/>
      </tp>
      <tp>
        <v>5.86</v>
        <stp/>
        <stp>BID</stp>
        <stp>EOSE</stp>
        <tr r="G102" s="1"/>
      </tp>
      <tp>
        <v>0</v>
        <stp/>
        <stp>MARK_CHANGE</stp>
        <stp>ACHR</stp>
        <tr r="D107" s="1"/>
      </tp>
      <tp>
        <v>0</v>
        <stp/>
        <stp>MARKET_CAP</stp>
        <stp>QVCGP</stp>
        <tr r="I191" s="1"/>
      </tp>
      <tp>
        <v>8.9700000000000006</v>
        <stp/>
        <stp>ASK</stp>
        <stp>HLX</stp>
        <tr r="H150" s="1"/>
      </tp>
      <tp t="s">
        <v>0.00%</v>
        <stp/>
        <stp>MARK_PERCENT_CHANGE</stp>
        <stp>INV</stp>
        <tr r="E163" s="1"/>
      </tp>
      <tp t="s">
        <v>0.00%</v>
        <stp/>
        <stp>MARK_PERCENT_CHANGE</stp>
        <stp>IKT</stp>
        <tr r="E144" s="1"/>
      </tp>
      <tp>
        <v>2.27</v>
        <stp/>
        <stp>ASK</stp>
        <stp>HTZ</stp>
        <tr r="H230" s="1"/>
      </tp>
      <tp t="s">
        <v>-0.93%</v>
        <stp/>
        <stp>MARK_PERCENT_CHANGE</stp>
        <stp>IPW</stp>
        <tr r="E198" s="1"/>
      </tp>
      <tp>
        <v>2.16</v>
        <stp/>
        <stp>BID</stp>
        <stp>GLND</stp>
        <tr r="G156" s="1"/>
      </tp>
      <tp>
        <v>1.34</v>
        <stp/>
        <stp>BID</stp>
        <stp>SLNH</stp>
        <tr r="G148" s="1"/>
        <tr r="G88" s="1"/>
      </tp>
      <tp>
        <v>1.51</v>
        <stp/>
        <stp>BID</stp>
        <stp>CLIK</stp>
        <tr r="G193" s="1"/>
      </tp>
      <tp>
        <v>3.01</v>
        <stp/>
        <stp>BID</stp>
        <stp>MLEC</stp>
        <tr r="G143" s="1"/>
      </tp>
      <tp t="s">
        <v>0.00%</v>
        <stp/>
        <stp>MARK_PERCENT_CHANGE</stp>
        <stp>AUUD</stp>
        <tr r="E181" s="1"/>
      </tp>
      <tp>
        <v>3.92</v>
        <stp/>
        <stp>BID</stp>
        <stp>ELDN</stp>
        <tr r="G225" s="1"/>
      </tp>
      <tp>
        <v>2.56</v>
        <stp/>
        <stp>BID</stp>
        <stp>SLDP</stp>
        <tr r="G125" s="1"/>
      </tp>
      <tp>
        <v>1.63</v>
        <stp/>
        <stp>BID</stp>
        <stp>WLDS</stp>
        <tr r="G215" s="1"/>
      </tp>
      <tp>
        <v>1.21</v>
        <stp/>
        <stp>BID</stp>
        <stp>ELAB</stp>
        <tr r="G119" s="1"/>
      </tp>
      <tp>
        <v>0.43</v>
        <stp/>
        <stp>BID</stp>
        <stp>SLAI</stp>
        <tr r="G81" s="1"/>
      </tp>
      <tp>
        <v>7.77</v>
        <stp/>
        <stp>BID</stp>
        <stp>ULCC</stp>
        <tr r="G153" s="1"/>
      </tp>
      <tp t="s">
        <v>0.00%</v>
        <stp/>
        <stp>MARK_PERCENT_CHANGE</stp>
        <stp>BULL</stp>
        <tr r="E89" s="1"/>
      </tp>
      <tp t="s">
        <v>+0.55%</v>
        <stp/>
        <stp>MARK_PERCENT_CHANGE</stp>
        <stp>FULC</stp>
        <tr r="E164" s="1"/>
      </tp>
      <tp>
        <v>10.029999999999999</v>
        <stp/>
        <stp>ASK</stp>
        <stp>AVTR</stp>
        <tr r="H211" s="1"/>
      </tp>
      <tp>
        <v>2.73</v>
        <stp/>
        <stp>BID</stp>
        <stp>PLUG</stp>
        <tr r="G104" s="1"/>
      </tp>
      <tp t="s">
        <v>0.00%</v>
        <stp/>
        <stp>MARK_PERCENT_CHANGE</stp>
        <stp>NUAI</stp>
        <tr r="E93" s="1"/>
      </tp>
      <tp>
        <v>0.96</v>
        <stp/>
        <stp>BID</stp>
        <stp>ELPW</stp>
        <tr r="G201" s="1"/>
        <tr r="G73" s="1"/>
      </tp>
      <tp t="s">
        <v>-1.19%</v>
        <stp/>
        <stp>MARK_PERCENT_CHANGE</stp>
        <stp>HUBC</stp>
        <tr r="E190" s="1"/>
      </tp>
      <tp>
        <v>1</v>
        <stp/>
        <stp>VOLUME</stp>
        <stp>GPK</stp>
        <tr r="F140" s="1"/>
      </tp>
      <tp>
        <v>6349</v>
        <stp/>
        <stp>VOLUME</stp>
        <stp>GTM</stp>
        <tr r="F209" s="1"/>
      </tp>
      <tp>
        <v>0</v>
        <stp/>
        <stp>MARK_CHANGE</stp>
        <stp>TRX</stp>
        <tr r="D97" s="1"/>
      </tp>
      <tp t="s">
        <v>52 M</v>
        <stp/>
        <stp>MARKET_CAP</stp>
        <stp>UAVS</stp>
        <tr r="I96" s="1"/>
      </tp>
      <tp t="s">
        <v>3.7 M</v>
        <stp/>
        <stp>MARKET_CAP</stp>
        <stp>PAVS</stp>
        <tr r="I216" s="1"/>
      </tp>
      <tp>
        <v>0</v>
        <stp/>
        <stp>MARK_CHANGE</stp>
        <stp>TWI</stp>
        <tr r="D136" s="1"/>
      </tp>
      <tp t="s">
        <v>5,632 M</v>
        <stp/>
        <stp>MARKET_CAP</stp>
        <stp>PATH</stp>
        <tr r="I210" s="1"/>
      </tp>
      <tp t="s">
        <v>29 M</v>
        <stp/>
        <stp>MARKET_CAP</stp>
        <stp>BATL</stp>
        <tr r="I121" s="1"/>
      </tp>
      <tp t="s">
        <v>848 M</v>
        <stp/>
        <stp>MARKET_CAP</stp>
        <stp>SATL</stp>
        <tr r="I86" s="1"/>
      </tp>
      <tp>
        <v>5.0999999999999996</v>
        <stp/>
        <stp>ASK</stp>
        <stp>INV</stp>
        <tr r="H163" s="1"/>
      </tp>
      <tp t="s">
        <v>0.00%</v>
        <stp/>
        <stp>MARK_PERCENT_CHANGE</stp>
        <stp>HLX</stp>
        <tr r="E150" s="1"/>
      </tp>
      <tp>
        <v>2.0499999999999998</v>
        <stp/>
        <stp>ASK</stp>
        <stp>IKT</stp>
        <tr r="H144" s="1"/>
      </tp>
      <tp t="s">
        <v>522 M</v>
        <stp/>
        <stp>MARKET_CAP</stp>
        <stp>PACB</stp>
        <tr r="I226" s="1"/>
      </tp>
      <tp t="s">
        <v>0.00%</v>
        <stp/>
        <stp>MARK_PERCENT_CHANGE</stp>
        <stp>HTZ</stp>
        <tr r="E230" s="1"/>
      </tp>
      <tp>
        <v>2.12</v>
        <stp/>
        <stp>ASK</stp>
        <stp>IPW</stp>
        <tr r="H198" s="1"/>
      </tp>
      <tp t="s">
        <v>702 M</v>
        <stp/>
        <stp>MARKET_CAP</stp>
        <stp>LAES</stp>
        <tr r="I83" s="1"/>
      </tp>
      <tp>
        <v>8.33</v>
        <stp/>
        <stp>BID</stp>
        <stp>JEM</stp>
        <tr r="G199" s="1"/>
      </tp>
      <tp t="s">
        <v>40 M</v>
        <stp/>
        <stp>MARKET_CAP</stp>
        <stp>GAME</stp>
        <tr r="I80" s="1"/>
      </tp>
      <tp>
        <v>0</v>
        <stp/>
        <stp>MARK_CHANGE</stp>
        <stp>UAVS</stp>
        <tr r="D96" s="1"/>
      </tp>
      <tp>
        <v>-0.84</v>
        <stp/>
        <stp>MARK_CHANGE</stp>
        <stp>PAVS</stp>
        <tr r="D216" s="1"/>
      </tp>
      <tp>
        <v>0.1</v>
        <stp/>
        <stp>MARK_CHANGE</stp>
        <stp>PATH</stp>
        <tr r="D210" s="1"/>
      </tp>
      <tp>
        <v>-0.02</v>
        <stp/>
        <stp>MARK_CHANGE</stp>
        <stp>BATL</stp>
        <tr r="D121" s="1"/>
      </tp>
      <tp>
        <v>7.0000000000000007E-2</v>
        <stp/>
        <stp>MARK_CHANGE</stp>
        <stp>SATL</stp>
        <tr r="D86" s="1"/>
      </tp>
      <tp>
        <v>2.17</v>
        <stp/>
        <stp>BID</stp>
        <stp>CMND</stp>
        <tr r="G77" s="1"/>
      </tp>
      <tp>
        <v>0.6</v>
        <stp/>
        <stp>BID</stp>
        <stp>PMEC</stp>
        <tr r="G129" s="1"/>
      </tp>
      <tp>
        <v>0.73</v>
        <stp/>
        <stp>BID</stp>
        <stp>TMDE</stp>
        <tr r="G116" s="1"/>
      </tp>
      <tp>
        <v>7.9</v>
        <stp/>
        <stp>BID</stp>
        <stp>NMAX</stp>
        <tr r="G78" s="1"/>
        <tr r="G185" s="1"/>
      </tp>
      <tp t="s">
        <v>+0.55%</v>
        <stp/>
        <stp>MARK_PERCENT_CHANGE</stp>
        <stp>NTSK</stp>
        <tr r="E224" s="1"/>
      </tp>
      <tp>
        <v>3.73</v>
        <stp/>
        <stp>BID</stp>
        <stp>AMBP</stp>
        <tr r="G159" s="1"/>
      </tp>
      <tp t="s">
        <v>0.00%</v>
        <stp/>
        <stp>MARK_PERCENT_CHANGE</stp>
        <stp>FTRE</stp>
        <tr r="E200" s="1"/>
      </tp>
      <tp t="s">
        <v>0.00%</v>
        <stp/>
        <stp>MARK_PERCENT_CHANGE</stp>
        <stp>CTOS</stp>
        <tr r="E157" s="1"/>
      </tp>
      <tp>
        <v>0</v>
        <stp/>
        <stp>MARK_CHANGE</stp>
        <stp>LAES</stp>
        <tr r="D83" s="1"/>
      </tp>
      <tp t="s">
        <v>AXE COMPUTE INC</v>
        <stp/>
        <stp>DESCRIPTION</stp>
        <stp>AGPU</stp>
        <tr r="B184" s="1"/>
        <tr r="B70" s="1"/>
      </tp>
      <tp>
        <v>0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-3.0000000000000001E-3</v>
        <stp/>
        <stp>MARK_CHANGE</stp>
        <stp>GAME</stp>
        <tr r="D80" s="1"/>
      </tp>
      <tp>
        <v>14.18</v>
        <stp/>
        <stp>BID</stp>
        <stp>CMPS</stp>
        <tr r="G137" s="1"/>
      </tp>
      <tp>
        <v>0.47099999999999997</v>
        <stp/>
        <stp>BID</stp>
        <stp>RMSG</stp>
        <tr r="G202" s="1"/>
      </tp>
      <tp>
        <v>7.03</v>
        <stp/>
        <stp>BID</stp>
        <stp>IMSR</stp>
        <tr r="G127" s="1"/>
      </tp>
      <tp t="s">
        <v>0.00%</v>
        <stp/>
        <stp>MARK_PERCENT_CHANGE</stp>
        <stp>BTBT</stp>
        <tr r="E100" s="1"/>
      </tp>
      <tp>
        <v>0</v>
        <stp/>
        <stp>MARK_CHANGE</stp>
        <stp>SST</stp>
        <tr r="D178" s="1"/>
      </tp>
      <tp>
        <v>0.04</v>
        <stp/>
        <stp>MARK_CHANGE</stp>
        <stp>SPT</stp>
        <tr r="D219" s="1"/>
      </tp>
      <tp>
        <v>2.8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0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0</v>
        <stp/>
        <stp>MARK_CHANGE</stp>
        <stp>SMX</stp>
        <tr r="D118" s="1"/>
      </tp>
      <tp>
        <v>2.09</v>
        <stp/>
        <stp>ASK</stp>
        <stp>RPGL</stp>
        <tr r="H76" s="1"/>
      </tp>
      <tp>
        <v>4.55</v>
        <stp/>
        <stp>ASK</stp>
        <stp>OPEN</stp>
        <tr r="H101" s="1"/>
      </tp>
      <tp t="s">
        <v>+27.49%</v>
        <stp/>
        <stp>MARK_PERCENT_CHANGE</stp>
        <stp>GSUN</stp>
        <tr r="E82" s="1"/>
      </tp>
      <tp>
        <v>5.2</v>
        <stp/>
        <stp>BID</stp>
        <stp>FJET</stp>
        <tr r="G195" s="1"/>
      </tp>
      <tp t="s">
        <v>0.00%</v>
        <stp/>
        <stp>MARK_PERCENT_CHANGE</stp>
        <stp>ASTI</stp>
        <tr r="E174" s="1"/>
        <tr r="E131" s="1"/>
      </tp>
      <tp>
        <v>9.2799999999999994</v>
        <stp/>
        <stp>ASK</stp>
        <stp>CPIX</stp>
        <tr r="H180" s="1"/>
      </tp>
      <tp t="s">
        <v>0.00%</v>
        <stp/>
        <stp>MARK_PERCENT_CHANGE</stp>
        <stp>ZSPC</stp>
        <tr r="E69" s="1"/>
      </tp>
      <tp>
        <v>3.74</v>
        <stp/>
        <stp>MARK</stp>
        <stp>BTG</stp>
        <tr r="C139" s="1"/>
      </tp>
      <tp>
        <v>2.82</v>
        <stp/>
        <stp>ASK</stp>
        <stp>IPST</stp>
        <tr r="H182" s="1"/>
      </tp>
      <tp t="s">
        <v>-0.39%</v>
        <stp/>
        <stp>MARK_PERCENT_CHANGE</stp>
        <stp>GSIT</stp>
        <tr r="E217" s="1"/>
      </tp>
      <tp t="s">
        <v>+0.71%</v>
        <stp/>
        <stp>MARK_PERCENT_CHANGE</stp>
        <stp>ASAN</stp>
        <tr r="E196" s="1"/>
      </tp>
      <tp t="s">
        <v>N/A</v>
        <stp/>
        <stp>VOLUME</stp>
        <stp>ACB</stp>
        <tr r="F222" s="1"/>
      </tp>
      <tp>
        <v>29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82 M</v>
        <stp/>
        <stp>MARKET_CAP</stp>
        <stp>AGPU</stp>
        <tr r="I184" s="1"/>
        <tr r="I70" s="1"/>
      </tp>
      <tp>
        <v>3.69</v>
        <stp/>
        <stp>BID</stp>
        <stp>LPL</stp>
        <tr r="G186" s="1"/>
      </tp>
      <tp>
        <v>0</v>
        <stp/>
        <stp>MARK_CHANGE</stp>
        <stp>RES</stp>
        <tr r="D165" s="1"/>
      </tp>
      <tp t="s">
        <v>0.00%</v>
        <stp/>
        <stp>MARK_PERCENT_CHANGE</stp>
        <stp>NPT</stp>
        <tr r="E183" s="1"/>
      </tp>
      <tp>
        <v>3.89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3.34</v>
        <stp/>
        <stp>MARK</stp>
        <stp>CYH</stp>
        <tr r="C109" s="1"/>
      </tp>
      <tp>
        <v>5.16</v>
        <stp/>
        <stp>MARK</stp>
        <stp>CXM</stp>
        <tr r="C206" s="1"/>
      </tp>
      <tp>
        <v>0</v>
        <stp/>
        <stp>MARK_CHANGE</stp>
        <stp>UGRO</stp>
        <tr r="D117" s="1"/>
      </tp>
      <tp>
        <v>-0.03</v>
        <stp/>
        <stp>MARK_CHANGE</stp>
        <stp>AGPU</stp>
        <tr r="D70" s="1"/>
        <tr r="D184" s="1"/>
      </tp>
      <tp t="s">
        <v>0.00%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0.00%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0.00%</v>
        <stp/>
        <stp>MARK_PERCENT_CHANGE</stp>
        <stp>FRMI</stp>
        <tr r="E158" s="1"/>
      </tp>
      <tp t="s">
        <v>UIPATH INC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A</v>
        <stp/>
        <stp>DESCRIPTION</stp>
        <stp>PAVS</stp>
        <tr r="B216" s="1"/>
      </tp>
      <tp t="s">
        <v>0.00%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0.00%</v>
        <stp/>
        <stp>MARK_PERCENT_CHANGE</stp>
        <stp>LRHC</stp>
        <tr r="E187" s="1"/>
      </tp>
      <tp t="s">
        <v>0.00%</v>
        <stp/>
        <stp>MARK_PERCENT_CHANGE</stp>
        <stp>KREF</stp>
        <tr r="E188" s="1"/>
      </tp>
      <tp t="s">
        <v>0.00%</v>
        <stp/>
        <stp>MARK_PERCENT_CHANGE</stp>
        <stp>SRFM</stp>
        <tr r="E232" s="1"/>
        <tr r="E95" s="1"/>
      </tp>
      <tp t="s">
        <v>+1.09%</v>
        <stp/>
        <stp>MARK_PERCENT_CHANGE</stp>
        <stp>ORBS</stp>
        <tr r="E92" s="1"/>
      </tp>
      <tp>
        <v>3.9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3.7</v>
        <stp/>
        <stp>ASK</stp>
        <stp>LPL</stp>
        <tr r="H186" s="1"/>
      </tp>
      <tp t="s">
        <v>8.5 M</v>
        <stp/>
        <stp>MARKET_CAP</stp>
        <stp>TDIC</stp>
        <tr r="I168" s="1"/>
      </tp>
      <tp t="s">
        <v>26 M</v>
        <stp/>
        <stp>MARKET_CAP</stp>
        <stp>CDLX</stp>
        <tr r="I146" s="1"/>
      </tp>
      <tp t="s">
        <v>37 M</v>
        <stp/>
        <stp>MARKET_CAP</stp>
        <stp>BDMD</stp>
        <tr r="I141" s="1"/>
      </tp>
      <tp>
        <v>0.70550000000000002</v>
        <stp/>
        <stp>ASK</stp>
        <stp>ORBS</stp>
        <tr r="H92" s="1"/>
      </tp>
      <tp>
        <v>9.6999999999999993</v>
        <stp/>
        <stp>BID</stp>
        <stp>SHLS</stp>
        <tr r="G155" s="1"/>
      </tp>
      <tp>
        <v>1.1599999999999999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7.45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1.19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1.62</v>
        <stp/>
        <stp>ASK</stp>
        <stp>TRON</stp>
        <tr r="H208" s="1"/>
      </tp>
      <tp>
        <v>9.1999999999999993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10.25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0.495</v>
        <stp/>
        <stp>ASK</stp>
        <stp>PRZO</stp>
        <tr r="H124" s="1"/>
      </tp>
      <tp>
        <v>0</v>
        <stp/>
        <stp>MARK_CHANGE</stp>
        <stp>CDLX</stp>
        <tr r="D146" s="1"/>
      </tp>
      <tp>
        <v>0</v>
        <stp/>
        <stp>MARK_CHANGE</stp>
        <stp>BDMD</stp>
        <tr r="D141" s="1"/>
      </tp>
      <tp>
        <v>0.11</v>
        <stp/>
        <stp>MARK_CHANGE</stp>
        <stp>TDIC</stp>
        <tr r="D168" s="1"/>
      </tp>
      <tp>
        <v>784</v>
        <stp/>
        <stp>VOLUME</stp>
        <stp>CXM</stp>
        <tr r="F206" s="1"/>
      </tp>
      <tp>
        <v>15</v>
        <stp/>
        <stp>VOLUME</stp>
        <stp>CYH</stp>
        <tr r="F109" s="1"/>
      </tp>
      <tp t="s">
        <v>929 M</v>
        <stp/>
        <stp>MARKET_CAP</stp>
        <stp>REPL</stp>
        <tr r="I175" s="1"/>
        <tr r="I122" s="1"/>
      </tp>
      <tp t="s">
        <v>SPROUT SOCIAL INC A</v>
        <stp/>
        <stp>DESCRIPTION</stp>
        <stp>SPT</stp>
        <tr r="B219" s="1"/>
      </tp>
      <tp t="s">
        <v>+1.04%</v>
        <stp/>
        <stp>MARK_PERCENT_CHANGE</stp>
        <stp>LAC</stp>
        <tr r="E90" s="1"/>
      </tp>
      <tp t="s">
        <v>21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2.36</v>
        <stp/>
        <stp>BID</stp>
        <stp>NPT</stp>
        <tr r="G183" s="1"/>
      </tp>
      <tp>
        <v>0</v>
        <stp/>
        <stp>MARK_CHANGE</stp>
        <stp>PBM</stp>
        <tr r="D79" s="1"/>
        <tr r="D213" s="1"/>
      </tp>
      <tp>
        <v>0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18 M</v>
        <stp/>
        <stp>MARKET_CAP</stp>
        <stp>RECT</stp>
        <tr r="I133" s="1"/>
      </tp>
      <tp t="s">
        <v>477 M</v>
        <stp/>
        <stp>MARKET_CAP</stp>
        <stp>WEAV</stp>
        <tr r="I220" s="1"/>
      </tp>
      <tp t="s">
        <v>-4.88%</v>
        <stp/>
        <stp>MARK_PERCENT_CHANGE</stp>
        <stp>LPL</stp>
        <tr r="E186" s="1"/>
      </tp>
      <tp t="s">
        <v>3,466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5 M</v>
        <stp/>
        <stp>MARKET_CAP</stp>
        <stp>EEIQ</stp>
        <tr r="I221" s="1"/>
      </tp>
      <tp t="s">
        <v>131 M</v>
        <stp/>
        <stp>MARKET_CAP</stp>
        <stp>ZENA</stp>
        <tr r="I123" s="1"/>
      </tp>
      <tp t="s">
        <v>4.9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0</v>
        <stp/>
        <stp>MARK_CHANGE</stp>
        <stp>RETO</stp>
        <tr r="D72" s="1"/>
      </tp>
      <tp>
        <v>7.2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0.12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2.8</v>
        <stp/>
        <stp>BID</stp>
        <stp>SIDU</stp>
        <tr r="G115" s="1"/>
        <tr r="G223" s="1"/>
      </tp>
      <tp>
        <v>0.64559999999999995</v>
        <stp/>
        <stp>BID</stp>
        <stp>KIDZ</stp>
        <tr r="G74" s="1"/>
      </tp>
      <tp>
        <v>7.7</v>
        <stp/>
        <stp>ASK</stp>
        <stp>GSIT</stp>
        <tr r="H217" s="1"/>
      </tp>
      <tp>
        <v>0.81189999999999996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0.00%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0.25</v>
        <stp/>
        <stp>ASK</stp>
        <stp>ZSPC</stp>
        <tr r="H69" s="1"/>
      </tp>
      <tp>
        <v>0</v>
        <stp/>
        <stp>MARK_CHANGE</stp>
        <stp>KEEL</stp>
        <tr r="D173" s="1"/>
        <tr r="D128" s="1"/>
      </tp>
      <tp>
        <v>0.441</v>
        <stp/>
        <stp>BID</stp>
        <stp>BIYA</stp>
        <tr r="G71" s="1"/>
      </tp>
      <tp t="s">
        <v>0.00%</v>
        <stp/>
        <stp>MARK_PERCENT_CHANGE</stp>
        <stp>CPIX</stp>
        <tr r="E180" s="1"/>
      </tp>
      <tp>
        <v>1.9</v>
        <stp/>
        <stp>BID</stp>
        <stp>AIXI</stp>
        <tr r="G130" s="1"/>
        <tr r="G179" s="1"/>
      </tp>
      <tp>
        <v>-0.04</v>
        <stp/>
        <stp>MARK_CHANGE</stp>
        <stp>RECT</stp>
        <tr r="D133" s="1"/>
      </tp>
      <tp>
        <v>5.0999999999999996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3.04</v>
        <stp/>
        <stp>MARK</stp>
        <stp>ALT</stp>
        <tr r="C189" s="1"/>
      </tp>
      <tp>
        <v>0.43</v>
        <stp/>
        <stp>ASK</stp>
        <stp>GSUN</stp>
        <tr r="H82" s="1"/>
      </tp>
      <tp>
        <v>0</v>
        <stp/>
        <stp>MARK_CHANGE</stp>
        <stp>WEAV</stp>
        <tr r="D220" s="1"/>
      </tp>
      <tp>
        <v>2.79</v>
        <stp/>
        <stp>MARK</stp>
        <stp>ACB</stp>
        <tr r="C222" s="1"/>
      </tp>
      <tp>
        <v>0</v>
        <stp/>
        <stp>MARK_CHANGE</stp>
        <stp>ZENA</stp>
        <tr r="D123" s="1"/>
      </tp>
      <tp t="s">
        <v>-1.52%</v>
        <stp/>
        <stp>MARK_PERCENT_CHANGE</stp>
        <stp>OPEN</stp>
        <tr r="E101" s="1"/>
      </tp>
      <tp>
        <v>0</v>
        <stp/>
        <stp>MARK_CHANGE</stp>
        <stp>RENX</stp>
        <tr r="D162" s="1"/>
      </tp>
      <tp t="s">
        <v>0.00%</v>
        <stp/>
        <stp>MARK_PERCENT_CHANGE</stp>
        <stp>RPGL</stp>
        <tr r="E76" s="1"/>
      </tp>
      <tp>
        <v>3.63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-0.03</v>
        <stp/>
        <stp>MARK_CHANGE</stp>
        <stp>EEIQ</stp>
        <tr r="D221" s="1"/>
      </tp>
      <tp>
        <v>28244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3.74</v>
        <stp/>
        <stp>ASK</stp>
        <stp>BTG</stp>
        <tr r="H139" s="1"/>
      </tp>
      <tp>
        <v>3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70" s="1"/>
        <tr r="B132" s="1"/>
      </tp>
      <tp t="s">
        <v>RICHTECH ROBOTICS IN B</v>
        <stp/>
        <stp>DESCRIPTION</stp>
        <stp>RR</stp>
        <tr r="B103" s="1"/>
      </tp>
      <tp t="s">
        <v>264 M</v>
        <stp/>
        <stp>MARKET_CAP</stp>
        <stp>FJET</stp>
        <tr r="I195" s="1"/>
      </tp>
      <tp>
        <v>2.7</v>
        <stp/>
        <stp>BID</stp>
        <stp>ACB</stp>
        <tr r="G222" s="1"/>
      </tp>
      <tp t="s">
        <v>0.00%</v>
        <stp/>
        <stp>MARK_PERCENT_CHANGE</stp>
        <stp>CYH</stp>
        <tr r="E109" s="1"/>
      </tp>
      <tp t="s">
        <v>0.00%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88" s="1"/>
        <tr r="B148" s="1"/>
      </tp>
      <tp t="s">
        <v>GREENLAND ENERGY CO</v>
        <stp/>
        <stp>DESCRIPTION</stp>
        <stp>GLND</stp>
        <tr r="B156" s="1"/>
      </tp>
      <tp>
        <v>2.41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0</v>
        <stp/>
        <stp>MARK_CHANGE</stp>
        <stp>FJET</stp>
        <tr r="D195" s="1"/>
      </tp>
      <tp t="s">
        <v>ELONG PWR HLDG LTD A</v>
        <stp/>
        <stp>DESCRIPTION</stp>
        <stp>ELPW</stp>
        <tr r="B201" s="1"/>
        <tr r="B73" s="1"/>
      </tp>
      <tp t="s">
        <v>0.00%</v>
        <stp/>
        <stp>MARK_PERCENT_CHANGE</stp>
        <stp>BTG</stp>
        <tr r="E139" s="1"/>
      </tp>
      <tp>
        <v>5.5</v>
        <stp/>
        <stp>ASK</stp>
        <stp>CXM</stp>
        <tr r="H206" s="1"/>
      </tp>
      <tp>
        <v>3.75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185" s="1"/>
        <tr r="B78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7.35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80908</v>
        <stp/>
        <stp>VOLUME</stp>
        <stp>LAC</stp>
        <tr r="F90" s="1"/>
      </tp>
      <tp>
        <v>9481</v>
        <stp/>
        <stp>VOLUME</stp>
        <stp>LPL</stp>
        <tr r="F186" s="1"/>
      </tp>
      <tp t="s">
        <v>0.00%</v>
        <stp/>
        <stp>MARK_PERCENT_CHANGE</stp>
        <stp>ACB</stp>
        <tr r="E222" s="1"/>
      </tp>
      <tp>
        <v>4.8</v>
        <stp/>
        <stp>BID</stp>
        <stp>CXM</stp>
        <tr r="G206" s="1"/>
      </tp>
      <tp>
        <v>3.15</v>
        <stp/>
        <stp>BID</stp>
        <stp>CYH</stp>
        <tr r="G109" s="1"/>
      </tp>
      <tp t="s">
        <v>0.00%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1,661 M</v>
        <stp/>
        <stp>MARKET_CAP</stp>
        <stp>SHLS</stp>
        <tr r="I155" s="1"/>
      </tp>
      <tp>
        <v>1.3325</v>
        <stp/>
        <stp>MARK</stp>
        <stp>ADSLF</stp>
        <tr r="C108" s="1"/>
      </tp>
      <tp>
        <v>0.95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1.82</v>
        <stp/>
        <stp>BID</stp>
        <stp>CDLX</stp>
        <tr r="G146" s="1"/>
      </tp>
      <tp>
        <v>5.77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3.7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3.89</v>
        <stp/>
        <stp>MARK</stp>
        <stp>LAC</stp>
        <tr r="C90" s="1"/>
      </tp>
      <tp>
        <v>0</v>
        <stp/>
        <stp>MARK_CHANGE</stp>
        <stp>SHLS</stp>
        <tr r="D155" s="1"/>
      </tp>
      <tp t="s">
        <v>973 M</v>
        <stp/>
        <stp>MARKET_CAP</stp>
        <stp>HIVE</stp>
        <tr r="I98" s="1"/>
      </tp>
      <tp>
        <v>2.81</v>
        <stp/>
        <stp>ASK</stp>
        <stp>ACB</stp>
        <tr r="H222" s="1"/>
      </tp>
      <tp>
        <v>3.09</v>
        <stp/>
        <stp>ASK</stp>
        <stp>ALT</stp>
        <tr r="H189" s="1"/>
      </tp>
      <tp t="s">
        <v>0.00%</v>
        <stp/>
        <stp>MARK_PERCENT_CHANGE</stp>
        <stp>RR</stp>
        <tr r="E103" s="1"/>
      </tp>
      <tp t="s">
        <v>-0.53%</v>
        <stp/>
        <stp>MARK_PERCENT_CHANGE</stp>
        <stp>QS</stp>
        <tr r="E132" s="1"/>
        <tr r="E170" s="1"/>
      </tp>
      <tp>
        <v>3.71</v>
        <stp/>
        <stp>BID</stp>
        <stp>BTG</stp>
        <tr r="G139" s="1"/>
      </tp>
      <tp t="s">
        <v>1.7 M</v>
        <stp/>
        <stp>MARKET_CAP</stp>
        <stp>AIXI</stp>
        <tr r="I130" s="1"/>
        <tr r="I179" s="1"/>
      </tp>
      <tp t="s">
        <v>+1.04%</v>
        <stp/>
        <stp>MARK_PERCENT_CHANGE</stp>
        <stp>PD</stp>
        <tr r="E231" s="1"/>
      </tp>
      <tp t="s">
        <v>2.3 M</v>
        <stp/>
        <stp>MARKET_CAP</stp>
        <stp>BIYA</stp>
        <tr r="I71" s="1"/>
      </tp>
      <tp t="s">
        <v>+0.11%</v>
        <stp/>
        <stp>MARK_PERCENT_CHANGE</stp>
        <stp>TE</stp>
        <tr r="E94" s="1"/>
      </tp>
      <tp t="s">
        <v>5.1 M</v>
        <stp/>
        <stp>MARKET_CAP</stp>
        <stp>BIAF</stp>
        <tr r="I229" s="1"/>
      </tp>
      <tp t="s">
        <v>0.00%</v>
        <stp/>
        <stp>MARK_PERCENT_CHANGE</stp>
        <stp>MX</stp>
        <tr r="E113" s="1"/>
      </tp>
      <tp t="s">
        <v>274 M</v>
        <stp/>
        <stp>MARKET_CAP</stp>
        <stp>SIDU</stp>
        <tr r="I115" s="1"/>
        <tr r="I223" s="1"/>
      </tp>
      <tp t="s">
        <v>0.54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1.1200000000000001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0.00%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0</v>
        <stp/>
        <stp>MARK_CHANGE</stp>
        <stp>HIVE</stp>
        <tr r="D98" s="1"/>
      </tp>
      <tp>
        <v>1.48</v>
        <stp/>
        <stp>BID</stp>
        <stp>ZENA</stp>
        <tr r="G123" s="1"/>
      </tp>
      <tp>
        <v>1.8</v>
        <stp/>
        <stp>BID</stp>
        <stp>RENX</stp>
        <tr r="G162" s="1"/>
      </tp>
      <tp>
        <v>2.71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5.7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4.4000000000000004</v>
        <stp/>
        <stp>BID</stp>
        <stp>WEAV</stp>
        <tr r="G220" s="1"/>
      </tp>
      <tp>
        <v>0.06</v>
        <stp/>
        <stp>MARK_CHANGE</stp>
        <stp>AIXI</stp>
        <tr r="D179" s="1"/>
        <tr r="D130" s="1"/>
      </tp>
      <tp>
        <v>1.05</v>
        <stp/>
        <stp>BID</stp>
        <stp>RECT</stp>
        <tr r="G133" s="1"/>
      </tp>
      <tp>
        <v>-0.1114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0</v>
        <stp/>
        <stp>MARK_CHANGE</stp>
        <stp>SIDU</stp>
        <tr r="D115" s="1"/>
        <tr r="D223" s="1"/>
      </tp>
      <tp>
        <v>-8.0000000000000002E-3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0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2.33</v>
        <stp/>
        <stp>BID</stp>
        <stp>RETO</stp>
        <tr r="G72" s="1"/>
      </tp>
      <tp>
        <v>11.19</v>
        <stp/>
        <stp>BID</stp>
        <stp>REPL</stp>
        <tr r="G175" s="1"/>
        <tr r="G122" s="1"/>
      </tp>
      <tp>
        <v>3299</v>
        <stp/>
        <stp>VOLUME</stp>
        <stp>NPT</stp>
        <tr r="F183" s="1"/>
      </tp>
      <tp t="s">
        <v>5.7 M</v>
        <stp/>
        <stp>MARKET_CAP</stp>
        <stp>GNPX</stp>
        <tr r="I160" s="1"/>
      </tp>
      <tp t="s">
        <v>5.6 M</v>
        <stp/>
        <stp>MARKET_CAP</stp>
        <stp>ENVB</stp>
        <tr r="I177" s="1"/>
      </tp>
      <tp t="s">
        <v>1,324 M</v>
        <stp/>
        <stp>MARKET_CAP</stp>
        <stp>ENVX</stp>
        <tr r="I110" s="1"/>
      </tp>
      <tp t="s">
        <v>345 M</v>
        <stp/>
        <stp>MARKET_CAP</stp>
        <stp>ZNTL</stp>
        <tr r="I166" s="1"/>
      </tp>
      <tp t="s">
        <v>127 M</v>
        <stp/>
        <stp>MARKET_CAP</stp>
        <stp>MNTS</stp>
        <tr r="I145" s="1"/>
      </tp>
      <tp t="s">
        <v>18 M</v>
        <stp/>
        <stp>MARKET_CAP</stp>
        <stp>QNCX</stp>
        <tr r="I154" s="1"/>
      </tp>
      <tp t="s">
        <v>0.00%</v>
        <stp/>
        <stp>MARK_PERCENT_CHANGE</stp>
        <stp>GTM</stp>
        <tr r="E209" s="1"/>
      </tp>
      <tp t="s">
        <v>949 M</v>
        <stp/>
        <stp>MARKET_CAP</stp>
        <stp>INDI</stp>
        <tr r="I161" s="1"/>
      </tp>
      <tp t="s">
        <v>0.00%</v>
        <stp/>
        <stp>MARK_PERCENT_CHANGE</stp>
        <stp>GPK</stp>
        <tr r="E140" s="1"/>
      </tp>
      <tp t="s">
        <v>119 M</v>
        <stp/>
        <stp>MARKET_CAP</stp>
        <stp>ANNA</stp>
        <tr r="I85" s="1"/>
      </tp>
      <tp t="s">
        <v>81 M</v>
        <stp/>
        <stp>MARKET_CAP</stp>
        <stp>NNOX</stp>
        <tr r="I212" s="1"/>
      </tp>
      <tp>
        <v>0</v>
        <stp/>
        <stp>MARK_CHANGE</stp>
        <stp>ENVB</stp>
        <tr r="D177" s="1"/>
      </tp>
      <tp>
        <v>0</v>
        <stp/>
        <stp>MARK_CHANGE</stp>
        <stp>ENVX</stp>
        <tr r="D110" s="1"/>
      </tp>
      <tp>
        <v>5.54</v>
        <stp/>
        <stp>BID</stp>
        <stp>JBLU</stp>
        <tr r="G151" s="1"/>
      </tp>
      <tp>
        <v>9.5299999999999994</v>
        <stp/>
        <stp>BID</stp>
        <stp>MBLY</stp>
        <tr r="G171" s="1"/>
      </tp>
      <tp>
        <v>0</v>
        <stp/>
        <stp>MARK_CHANGE</stp>
        <stp>ZNTL</stp>
        <tr r="D166" s="1"/>
      </tp>
      <tp>
        <v>0.08</v>
        <stp/>
        <stp>MARK_CHANGE</stp>
        <stp>MNTS</stp>
        <tr r="D145" s="1"/>
      </tp>
      <tp>
        <v>0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3.67</v>
        <stp/>
        <stp>BID</stp>
        <stp>BBAI</stp>
        <tr r="G84" s="1"/>
      </tp>
      <tp>
        <v>0</v>
        <stp/>
        <stp>MARK_CHANGE</stp>
        <stp>INDI</stp>
        <tr r="D161" s="1"/>
      </tp>
      <tp>
        <v>0</v>
        <stp/>
        <stp>MARK_CHANGE</stp>
        <stp>QNCX</stp>
        <tr r="D154" s="1"/>
      </tp>
      <tp>
        <v>0</v>
        <stp/>
        <stp>MARK_CHANGE</stp>
        <stp>ANNA</stp>
        <tr r="D85" s="1"/>
      </tp>
      <tp>
        <v>0.75</v>
        <stp/>
        <stp>BID</stp>
        <stp>WBUY</stp>
        <tr r="G204" s="1"/>
      </tp>
      <tp>
        <v>0.68700000000000006</v>
        <stp/>
        <stp>BID</stp>
        <stp>ABTC</stp>
        <tr r="G106" s="1"/>
      </tp>
      <tp>
        <v>1.1000000000000001</v>
        <stp/>
        <stp>BID</stp>
        <stp>ABTS</stp>
        <tr r="G194" s="1"/>
      </tp>
      <tp>
        <v>0.04</v>
        <stp/>
        <stp>MARK_CHANGE</stp>
        <stp>NNOX</stp>
        <tr r="D212" s="1"/>
      </tp>
      <tp>
        <v>8.33</v>
        <stp/>
        <stp>MARK</stp>
        <stp>JEM</stp>
        <tr r="C199" s="1"/>
      </tp>
      <tp>
        <v>11.3</v>
        <stp/>
        <stp>BID</stp>
        <stp>ABSI</stp>
        <tr r="G138" s="1"/>
      </tp>
      <tp>
        <v>8.76</v>
        <stp/>
        <stp>BID</stp>
        <stp>IBRX</stp>
        <tr r="G87" s="1"/>
      </tp>
      <tp>
        <v>40</v>
        <stp/>
        <stp>VOLUME</stp>
        <stp>IKT</stp>
        <tr r="F144" s="1"/>
      </tp>
      <tp>
        <v>1010</v>
        <stp/>
        <stp>VOLUME</stp>
        <stp>INV</stp>
        <tr r="F163" s="1"/>
      </tp>
      <tp>
        <v>1891</v>
        <stp/>
        <stp>VOLUME</stp>
        <stp>IPW</stp>
        <tr r="F198" s="1"/>
      </tp>
      <tp t="s">
        <v>1,996 M</v>
        <stp/>
        <stp>MARKET_CAP</stp>
        <stp>EOSE</stp>
        <tr r="I102" s="1"/>
      </tp>
      <tp t="s">
        <v>830 M</v>
        <stp/>
        <stp>MARKET_CAP</stp>
        <stp>KOPN</stp>
        <tr r="I169" s="1"/>
      </tp>
      <tp t="s">
        <v>2,800 M</v>
        <stp/>
        <stp>MARKET_CAP</stp>
        <stp>SOUN</stp>
        <tr r="I99" s="1"/>
      </tp>
      <tp>
        <v>2.96</v>
        <stp/>
        <stp>ASK</stp>
        <stp>GTM</stp>
        <tr r="H209" s="1"/>
      </tp>
      <tp t="s">
        <v>8.9 M</v>
        <stp/>
        <stp>MARKET_CAP</stp>
        <stp>LOBO</stp>
        <tr r="I75" s="1"/>
      </tp>
      <tp t="s">
        <v>8,774 M</v>
        <stp/>
        <stp>MARKET_CAP</stp>
        <stp>JOBY</stp>
        <tr r="I105" s="1"/>
      </tp>
      <tp>
        <v>10.59</v>
        <stp/>
        <stp>ASK</stp>
        <stp>GPK</stp>
        <tr r="H140" s="1"/>
      </tp>
      <tp t="s">
        <v>22 M</v>
        <stp/>
        <stp>MARKET_CAP</stp>
        <stp>EONR</stp>
        <tr r="I111" s="1"/>
      </tp>
      <tp t="s">
        <v>65 M</v>
        <stp/>
        <stp>MARKET_CAP</stp>
        <stp>ROLR</stp>
        <tr r="I114" s="1"/>
      </tp>
      <tp t="s">
        <v>141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10.029999999999999</v>
        <stp/>
        <stp>ASK</stp>
        <stp>RYAM</stp>
        <tr r="H134" s="1"/>
      </tp>
      <tp>
        <v>0</v>
        <stp/>
        <stp>MARK_CHANGE</stp>
        <stp>SOUN</stp>
        <tr r="D99" s="1"/>
      </tp>
      <tp>
        <v>0</v>
        <stp/>
        <stp>MARK_CHANGE</stp>
        <stp>EOSE</stp>
        <tr r="D102" s="1"/>
      </tp>
      <tp t="s">
        <v>0.00%</v>
        <stp/>
        <stp>MARK_PERCENT_CHANGE</stp>
        <stp>JZXN</stp>
        <tr r="E91" s="1"/>
      </tp>
      <tp>
        <v>4.7300000000000004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0</v>
        <stp/>
        <stp>MARK_CHANGE</stp>
        <stp>KOPN</stp>
        <tr r="D169" s="1"/>
      </tp>
      <tp>
        <v>5.18</v>
        <stp/>
        <stp>BID</stp>
        <stp>ACDC</stp>
        <tr r="G142" s="1"/>
      </tp>
      <tp>
        <v>1.51</v>
        <stp/>
        <stp>BID</stp>
        <stp>OCGN</stp>
        <tr r="G147" s="1"/>
      </tp>
      <tp>
        <v>0.75890000000000002</v>
        <stp/>
        <stp>ASK</stp>
        <stp>BYND</stp>
        <tr r="H214" s="1"/>
      </tp>
      <tp>
        <v>1.17</v>
        <stp/>
        <stp>BID</stp>
        <stp>UCAR</stp>
        <tr r="G172" s="1"/>
      </tp>
      <tp>
        <v>0.6603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0</v>
        <stp/>
        <stp>MARK_CHANGE</stp>
        <stp>LOBO</stp>
        <tr r="D75" s="1"/>
      </tp>
      <tp>
        <v>0.03</v>
        <stp/>
        <stp>MARK_CHANGE</stp>
        <stp>JOBY</stp>
        <tr r="D105" s="1"/>
      </tp>
      <tp>
        <v>1.52</v>
        <stp/>
        <stp>BID</stp>
        <stp>ACXP</stp>
        <tr r="G228" s="1"/>
      </tp>
      <tp>
        <v>9.01</v>
        <stp/>
        <stp>ASK</stp>
        <stp>KYTX</stp>
        <tr r="H207" s="1"/>
      </tp>
      <tp>
        <v>1.06E-2</v>
        <stp/>
        <stp>MARK_CHANGE</stp>
        <stp>EONR</stp>
        <tr r="D111" s="1"/>
      </tp>
      <tp>
        <v>2.9</v>
        <stp/>
        <stp>BID</stp>
        <stp>GCTS</stp>
        <tr r="G149" s="1"/>
      </tp>
      <tp>
        <v>0</v>
        <stp/>
        <stp>MARK_CHANGE</stp>
        <stp>ROLR</stp>
        <tr r="D114" s="1"/>
      </tp>
      <tp>
        <v>0</v>
        <stp/>
        <stp>MARK_CHANGE</stp>
        <stp>DOMO</stp>
        <tr r="D227" s="1"/>
      </tp>
      <tp t="s">
        <v>0.00%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5.7</v>
        <stp/>
        <stp>BID</stp>
        <stp>ACRS</stp>
        <tr r="G135" s="1"/>
      </tp>
      <tp>
        <v>207</v>
        <stp/>
        <stp>VOLUME</stp>
        <stp>HLX</stp>
        <tr r="F150" s="1"/>
      </tp>
      <tp>
        <v>18232</v>
        <stp/>
        <stp>VOLUME</stp>
        <stp>HTZ</stp>
        <tr r="F230" s="1"/>
      </tp>
      <tp t="s">
        <v>3.1 M</v>
        <stp/>
        <stp>MARKET_CAP</stp>
        <stp>ELPW</stp>
        <tr r="I201" s="1"/>
        <tr r="I73" s="1"/>
      </tp>
      <tp t="s">
        <v>3,781 M</v>
        <stp/>
        <stp>MARKET_CAP</stp>
        <stp>PLUG</stp>
        <tr r="I104" s="1"/>
      </tp>
      <tp>
        <v>2.87</v>
        <stp/>
        <stp>BID</stp>
        <stp>GTM</stp>
        <tr r="G209" s="1"/>
      </tp>
      <tp>
        <v>9.9600000000000009</v>
        <stp/>
        <stp>BID</stp>
        <stp>GPK</stp>
        <tr r="G140" s="1"/>
      </tp>
      <tp t="s">
        <v>1,818 M</v>
        <stp/>
        <stp>MARKET_CAP</stp>
        <stp>ULCC</stp>
        <tr r="I153" s="1"/>
      </tp>
      <tp t="s">
        <v>5.5 M</v>
        <stp/>
        <stp>MARKET_CAP</stp>
        <stp>ELAB</stp>
        <tr r="I119" s="1"/>
      </tp>
      <tp t="s">
        <v>14 M</v>
        <stp/>
        <stp>MARKET_CAP</stp>
        <stp>SLAI</stp>
        <tr r="I81" s="1"/>
      </tp>
      <tp t="s">
        <v>304 M</v>
        <stp/>
        <stp>MARKET_CAP</stp>
        <stp>ELDN</stp>
        <tr r="I225" s="1"/>
      </tp>
      <tp t="s">
        <v>583 M</v>
        <stp/>
        <stp>MARKET_CAP</stp>
        <stp>SLDP</stp>
        <tr r="I125" s="1"/>
      </tp>
      <tp t="s">
        <v>3.6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5.4 M</v>
        <stp/>
        <stp>MARKET_CAP</stp>
        <stp>MLEC</stp>
        <tr r="I143" s="1"/>
      </tp>
      <tp t="s">
        <v>5 M</v>
        <stp/>
        <stp>MARKET_CAP</stp>
        <stp>CLIK</stp>
        <tr r="I193" s="1"/>
      </tp>
      <tp t="s">
        <v>96 M</v>
        <stp/>
        <stp>MARKET_CAP</stp>
        <stp>GLND</stp>
        <tr r="I156" s="1"/>
      </tp>
      <tp t="s">
        <v>213 M</v>
        <stp/>
        <stp>MARKET_CAP</stp>
        <stp>SLNH</stp>
        <tr r="I148" s="1"/>
        <tr r="I88" s="1"/>
      </tp>
      <tp t="s">
        <v>STARFIGHTERS SPACE I</v>
        <stp/>
        <stp>DESCRIPTION</stp>
        <stp>FJET</stp>
        <tr r="B195" s="1"/>
      </tp>
      <tp>
        <v>0.02</v>
        <stp/>
        <stp>MARK_CHANGE</stp>
        <stp>PLUG</stp>
        <tr r="D104" s="1"/>
      </tp>
      <tp>
        <v>1.38</v>
        <stp/>
        <stp>ASK</stp>
        <stp>BZAI</stp>
        <tr r="H218" s="1"/>
      </tp>
      <tp>
        <v>0</v>
        <stp/>
        <stp>MARK_CHANGE</stp>
        <stp>ELPW</stp>
        <tr r="D201" s="1"/>
        <tr r="D73" s="1"/>
      </tp>
      <tp t="s">
        <v>0.00%</v>
        <stp/>
        <stp>MARK_PERCENT_CHANGE</stp>
        <stp>KYTX</stp>
        <tr r="E207" s="1"/>
      </tp>
      <tp>
        <v>2.2650000000000001</v>
        <stp/>
        <stp>MARK</stp>
        <stp>HTZ</stp>
        <tr r="C230" s="1"/>
      </tp>
      <tp>
        <v>0</v>
        <stp/>
        <stp>MARK_CHANGE</stp>
        <stp>ELDN</stp>
        <tr r="D225" s="1"/>
      </tp>
      <tp>
        <v>0</v>
        <stp/>
        <stp>MARK_CHANGE</stp>
        <stp>WLDS</stp>
        <tr r="D215" s="1"/>
      </tp>
      <tp>
        <v>-0.02</v>
        <stp/>
        <stp>MARK_CHANGE</stp>
        <stp>SLDP</stp>
        <tr r="D125" s="1"/>
      </tp>
      <tp>
        <v>0</v>
        <stp/>
        <stp>MARK_CHANGE</stp>
        <stp>MLEC</stp>
        <tr r="D143" s="1"/>
      </tp>
      <tp t="s">
        <v>+0.85%</v>
        <stp/>
        <stp>MARK_PERCENT_CHANGE</stp>
        <stp>BYND</stp>
        <tr r="E214" s="1"/>
      </tp>
      <tp>
        <v>0</v>
        <stp/>
        <stp>MARK_CHANGE</stp>
        <stp>ULCC</stp>
        <tr r="D153" s="1"/>
      </tp>
      <tp>
        <v>8.74</v>
        <stp/>
        <stp>MARK</stp>
        <stp>HLX</stp>
        <tr r="C150" s="1"/>
      </tp>
      <tp>
        <v>0</v>
        <stp/>
        <stp>MARK_CHANGE</stp>
        <stp>ELAB</stp>
        <tr r="D119" s="1"/>
      </tp>
      <tp>
        <v>0</v>
        <stp/>
        <stp>MARK_CHANGE</stp>
        <stp>SLAI</stp>
        <tr r="D81" s="1"/>
      </tp>
      <tp>
        <v>0</v>
        <stp/>
        <stp>MARK_CHANGE</stp>
        <stp>GLND</stp>
        <tr r="D156" s="1"/>
      </tp>
      <tp>
        <v>0</v>
        <stp/>
        <stp>MARK_CHANGE</stp>
        <stp>SLNH</stp>
        <tr r="D148" s="1"/>
        <tr r="D88" s="1"/>
      </tp>
      <tp>
        <v>1.06</v>
        <stp/>
        <stp>ASK</stp>
        <stp>JZXN</stp>
        <tr r="H91" s="1"/>
      </tp>
      <tp t="s">
        <v>0.00%</v>
        <stp/>
        <stp>MARK_PERCENT_CHANGE</stp>
        <stp>RYAM</stp>
        <tr r="E134" s="1"/>
      </tp>
      <tp>
        <v>0</v>
        <stp/>
        <stp>MARK_CHANGE</stp>
        <stp>CLIK</stp>
        <tr r="D193" s="1"/>
      </tp>
      <tp t="s">
        <v>7 M</v>
        <stp/>
        <stp>MARKET_CAP</stp>
        <stp>RMSG</stp>
        <tr r="I202" s="1"/>
      </tp>
      <tp t="s">
        <v>750 M</v>
        <stp/>
        <stp>MARKET_CAP</stp>
        <stp>IMSR</stp>
        <tr r="I127" s="1"/>
      </tp>
      <tp t="s">
        <v>1,910 M</v>
        <stp/>
        <stp>MARKET_CAP</stp>
        <stp>CMPS</stp>
        <tr r="I137" s="1"/>
      </tp>
      <tp t="s">
        <v>2,833 M</v>
        <stp/>
        <stp>MARKET_CAP</stp>
        <stp>AMBP</stp>
        <tr r="I159" s="1"/>
      </tp>
      <tp t="s">
        <v>1,069 M</v>
        <stp/>
        <stp>MARKET_CAP</stp>
        <stp>NMAX</stp>
        <tr r="I185" s="1"/>
        <tr r="I78" s="1"/>
      </tp>
      <tp>
        <v>2.96</v>
        <stp/>
        <stp>MARK</stp>
        <stp>LNVGF</stp>
        <tr r="C112" s="1"/>
      </tp>
      <tp t="s">
        <v>18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25 M</v>
        <stp/>
        <stp>MARKET_CAP</stp>
        <stp>PMEC</stp>
        <tr r="I129" s="1"/>
      </tp>
      <tp t="s">
        <v>3.3 M</v>
        <stp/>
        <stp>MARKET_CAP</stp>
        <stp>CMND</stp>
        <tr r="I77" s="1"/>
      </tp>
      <tp>
        <v>0.38159999999999999</v>
        <stp/>
        <stp>BID</stp>
        <stp>GAME</stp>
        <tr r="G80" s="1"/>
      </tp>
      <tp>
        <v>0</v>
        <stp/>
        <stp>MARK_CHANGE</stp>
        <stp>RMSG</stp>
        <tr r="D202" s="1"/>
      </tp>
      <tp>
        <v>0</v>
        <stp/>
        <stp>MARK_CHANGE</stp>
        <stp>IMSR</stp>
        <tr r="D127" s="1"/>
      </tp>
      <tp>
        <v>0.03</v>
        <stp/>
        <stp>MARK_CHANGE</stp>
        <stp>CMPS</stp>
        <tr r="D137" s="1"/>
      </tp>
      <tp>
        <v>3.15</v>
        <stp/>
        <stp>BID</stp>
        <stp>LAES</stp>
        <tr r="G83" s="1"/>
      </tp>
      <tp>
        <v>2.12</v>
        <stp/>
        <stp>MARK</stp>
        <stp>IPW</stp>
        <tr r="C198" s="1"/>
      </tp>
      <tp>
        <v>1.6</v>
        <stp/>
        <stp>BID</stp>
        <stp>PACB</stp>
        <tr r="G226" s="1"/>
      </tp>
      <tp>
        <v>2.0299999999999998</v>
        <stp/>
        <stp>MARK</stp>
        <stp>IKT</stp>
        <tr r="C144" s="1"/>
      </tp>
      <tp>
        <v>0</v>
        <stp/>
        <stp>MARK_CHANGE</stp>
        <stp>TMDE</stp>
        <tr r="D116" s="1"/>
      </tp>
      <tp>
        <v>0</v>
        <stp/>
        <stp>MARK_CHANGE</stp>
        <stp>PMEC</stp>
        <tr r="D129" s="1"/>
      </tp>
      <tp>
        <v>0</v>
        <stp/>
        <stp>MARK_CHANGE</stp>
        <stp>AMBP</stp>
        <tr r="D159" s="1"/>
      </tp>
      <tp>
        <v>5.07</v>
        <stp/>
        <stp>MARK</stp>
        <stp>INV</stp>
        <tr r="C163" s="1"/>
      </tp>
      <tp>
        <v>0</v>
        <stp/>
        <stp>MARK_CHANGE</stp>
        <stp>NMAX</stp>
        <tr r="D78" s="1"/>
        <tr r="D185" s="1"/>
      </tp>
      <tp>
        <v>0</v>
        <stp/>
        <stp>MARK_CHANGE</stp>
        <stp>CMND</stp>
        <tr r="D77" s="1"/>
      </tp>
      <tp>
        <v>10.97</v>
        <stp/>
        <stp>BID</stp>
        <stp>PATH</stp>
        <tr r="G210" s="1"/>
      </tp>
      <tp>
        <v>5.79</v>
        <stp/>
        <stp>BID</stp>
        <stp>SATL</stp>
        <tr r="G86" s="1"/>
      </tp>
      <tp>
        <v>1.28</v>
        <stp/>
        <stp>BID</stp>
        <stp>BATL</stp>
        <tr r="G121" s="1"/>
      </tp>
      <tp>
        <v>6.26</v>
        <stp/>
        <stp>BID</stp>
        <stp>PAVS</stp>
        <tr r="G216" s="1"/>
      </tp>
      <tp>
        <v>0.86</v>
        <stp/>
        <stp>BID</stp>
        <stp>UAVS</stp>
        <tr r="G96" s="1"/>
      </tp>
      <tp>
        <v>7181525</v>
        <stp/>
        <stp>VOLUME</stp>
        <stp>JEM</stp>
        <tr r="F199" s="1"/>
      </tp>
      <tp>
        <v>0</v>
        <stp/>
        <stp>MARK_CHANGE</stp>
        <stp>LNVGF</stp>
        <tr r="D112" s="1"/>
      </tp>
      <tp>
        <v>1.38</v>
        <stp/>
        <stp>MARK</stp>
        <stp>BZAI</stp>
        <tr r="C218" s="1"/>
      </tp>
      <tp>
        <v>1.04</v>
        <stp/>
        <stp>MARK</stp>
        <stp>JZXN</stp>
        <tr r="C91" s="1"/>
      </tp>
      <tp>
        <v>2.39</v>
        <stp/>
        <stp>ASK</stp>
        <stp>QVCGP</stp>
        <tr r="H191" s="1"/>
      </tp>
      <tp>
        <v>0.75639999999999996</v>
        <stp/>
        <stp>MARK</stp>
        <stp>BYND</stp>
        <tr r="C214" s="1"/>
      </tp>
      <tp>
        <v>7.86</v>
        <stp/>
        <stp>MARK</stp>
        <stp>RYAM</stp>
        <tr r="C134" s="1"/>
      </tp>
      <tp>
        <v>8.91</v>
        <stp/>
        <stp>MARK</stp>
        <stp>KYTX</stp>
        <tr r="C207" s="1"/>
      </tp>
      <tp>
        <v>0</v>
        <stp/>
        <stp>MARK_CHANGE</stp>
        <stp>PSRHF</stp>
        <tr r="D197" s="1"/>
      </tp>
      <tp>
        <v>0</v>
        <stp/>
        <stp>MARK_CHANGE</stp>
        <stp>CURLF</stp>
        <tr r="D192" s="1"/>
      </tp>
      <tp>
        <v>0</v>
        <stp/>
        <stp>MARK_CHANGE</stp>
        <stp>ADSLF</stp>
        <tr r="D108" s="1"/>
      </tp>
      <tp t="s">
        <v>254 M</v>
        <stp/>
        <stp>MARKET_CAP</stp>
        <stp>EU</stp>
        <tr r="I120" s="1"/>
      </tp>
      <tp t="s">
        <v>173 M</v>
        <stp/>
        <stp>MARKET_CAP</stp>
        <stp>MX</stp>
        <tr r="I113" s="1"/>
      </tp>
      <tp t="s">
        <v>2,647 M</v>
        <stp/>
        <stp>MARKET_CAP</stp>
        <stp>TE</stp>
        <tr r="I94" s="1"/>
      </tp>
      <tp t="s">
        <v>744 M</v>
        <stp/>
        <stp>MARKET_CAP</stp>
        <stp>PD</stp>
        <tr r="I231" s="1"/>
      </tp>
      <tp t="s">
        <v>4,650 M</v>
        <stp/>
        <stp>MARKET_CAP</stp>
        <stp>QS</stp>
        <tr r="I132" s="1"/>
        <tr r="I170" s="1"/>
      </tp>
      <tp t="s">
        <v>472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7.7</v>
        <stp/>
        <stp>MARK</stp>
        <stp>GSIT</stp>
        <tr r="C217" s="1"/>
      </tp>
      <tp>
        <v>7.05</v>
        <stp/>
        <stp>MARK</stp>
        <stp>ASAN</stp>
        <tr r="C196" s="1"/>
      </tp>
      <tp>
        <v>0.20610000000000001</v>
        <stp/>
        <stp>MARK</stp>
        <stp>ZSPC</stp>
        <tr r="C69" s="1"/>
      </tp>
      <tp>
        <v>0.42580000000000001</v>
        <stp/>
        <stp>MARK</stp>
        <stp>GSUN</stp>
        <tr r="C82" s="1"/>
      </tp>
      <tp>
        <v>5</v>
        <stp/>
        <stp>MARK</stp>
        <stp>ASTI</stp>
        <tr r="C131" s="1"/>
        <tr r="C174" s="1"/>
      </tp>
      <tp>
        <v>1.1599999999999999</v>
        <stp/>
        <stp>MARK</stp>
        <stp>LRHC</stp>
        <tr r="C187" s="1"/>
      </tp>
      <tp>
        <v>9.16</v>
        <stp/>
        <stp>MARK</stp>
        <stp>FRMI</stp>
        <tr r="C158" s="1"/>
      </tp>
      <tp>
        <v>1.61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0.70309999999999995</v>
        <stp/>
        <stp>MARK</stp>
        <stp>ORBS</stp>
        <tr r="C92" s="1"/>
      </tp>
      <tp>
        <v>6.84</v>
        <stp/>
        <stp>MARK</stp>
        <stp>KREF</stp>
        <tr r="C188" s="1"/>
      </tp>
      <tp>
        <v>1.1599999999999999</v>
        <stp/>
        <stp>MARK</stp>
        <stp>SRFM</stp>
        <tr r="C232" s="1"/>
        <tr r="C95" s="1"/>
      </tp>
      <tp>
        <v>0.4864</v>
        <stp/>
        <stp>MARK</stp>
        <stp>PRZO</stp>
        <tr r="C124" s="1"/>
      </tp>
      <tp>
        <v>10.119999999999999</v>
        <stp/>
        <stp>MARK</stp>
        <stp>FRSH</stp>
        <tr r="C203" s="1"/>
      </tp>
      <tp>
        <v>6.48</v>
        <stp/>
        <stp>MARK</stp>
        <stp>CPIX</stp>
        <tr r="C180" s="1"/>
      </tp>
      <tp>
        <v>4.55</v>
        <stp/>
        <stp>MARK</stp>
        <stp>OPEN</stp>
        <tr r="C101" s="1"/>
      </tp>
      <tp>
        <v>1.97</v>
        <stp/>
        <stp>MARK</stp>
        <stp>RPGL</stp>
        <tr r="C76" s="1"/>
      </tp>
      <tp>
        <v>2.35</v>
        <stp/>
        <stp>MARK</stp>
        <stp>IPST</stp>
        <tr r="C182" s="1"/>
      </tp>
      <tp t="s">
        <v>0.00%</v>
        <stp/>
        <stp>MARK_PERCENT_CHANGE</stp>
        <stp>LNVGF</stp>
        <tr r="E112" s="1"/>
      </tp>
      <tp>
        <v>9.9</v>
        <stp/>
        <stp>MARK</stp>
        <stp>AVTR</stp>
        <tr r="C211" s="1"/>
      </tp>
      <tp>
        <v>3.68</v>
        <stp/>
        <stp>MARK</stp>
        <stp>FULC</stp>
        <tr r="C164" s="1"/>
      </tp>
      <tp>
        <v>6.52</v>
        <stp/>
        <stp>MARK</stp>
        <stp>BULL</stp>
        <tr r="C89" s="1"/>
      </tp>
      <tp>
        <v>6.38</v>
        <stp/>
        <stp>MARK</stp>
        <stp>NUAI</stp>
        <tr r="C93" s="1"/>
      </tp>
      <tp>
        <v>1.66</v>
        <stp/>
        <stp>MARK</stp>
        <stp>HUBC</stp>
        <tr r="C190" s="1"/>
      </tp>
      <tp>
        <v>1.35</v>
        <stp/>
        <stp>MARK</stp>
        <stp>AUUD</stp>
        <tr r="C181" s="1"/>
      </tp>
      <tp>
        <v>2.27</v>
        <stp/>
        <stp>BID</stp>
        <stp>QVCGP</stp>
        <tr r="G191" s="1"/>
      </tp>
      <tp t="s">
        <v>0.00%</v>
        <stp/>
        <stp>MARK_PERCENT_CHANGE</stp>
        <stp>ADSLF</stp>
        <tr r="E108" s="1"/>
      </tp>
      <tp>
        <v>11.81</v>
        <stp/>
        <stp>MARK</stp>
        <stp>CTOS</stp>
        <tr r="C157" s="1"/>
      </tp>
      <tp>
        <v>1.8</v>
        <stp/>
        <stp>MARK</stp>
        <stp>BTBT</stp>
        <tr r="C100" s="1"/>
      </tp>
      <tp>
        <v>11</v>
        <stp/>
        <stp>MARK</stp>
        <stp>NTSK</stp>
        <tr r="C224" s="1"/>
      </tp>
      <tp>
        <v>17.399999999999999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0.00%</v>
        <stp/>
        <stp>MARK_PERCENT_CHANGE</stp>
        <stp>PSRHF</stp>
        <tr r="E197" s="1"/>
      </tp>
      <tp>
        <v>1.69</v>
        <stp/>
        <stp>ASK</stp>
        <stp>PSRHF</stp>
        <tr r="H197" s="1"/>
      </tp>
      <tp>
        <v>3.7</v>
        <stp/>
        <stp>ASK</stp>
        <stp>CURLF</stp>
        <tr r="H192" s="1"/>
      </tp>
      <tp>
        <v>5.32</v>
        <stp/>
        <stp>MARK</stp>
        <stp>FJET</stp>
        <tr r="C195" s="1"/>
      </tp>
      <tp>
        <v>1.87</v>
        <stp/>
        <stp>ASK</stp>
        <stp>ADSLF</stp>
        <tr r="H108" s="1"/>
      </tp>
      <tp>
        <v>0.81200000000000006</v>
        <stp/>
        <stp>MARK</stp>
        <stp>BIAF</stp>
        <tr r="C229" s="1"/>
      </tp>
      <tp>
        <v>2.81</v>
        <stp/>
        <stp>MARK</stp>
        <stp>SIDU</stp>
        <tr r="C115" s="1"/>
        <tr r="C223" s="1"/>
      </tp>
      <tp>
        <v>0.67</v>
        <stp/>
        <stp>MARK</stp>
        <stp>KIDZ</stp>
        <tr r="C74" s="1"/>
      </tp>
      <tp>
        <v>0.4476</v>
        <stp/>
        <stp>MARK</stp>
        <stp>BIYA</stp>
        <tr r="C71" s="1"/>
      </tp>
      <tp>
        <v>1.9</v>
        <stp/>
        <stp>MARK</stp>
        <stp>AIXI</stp>
        <tr r="C179" s="1"/>
        <tr r="C130" s="1"/>
      </tp>
      <tp>
        <v>3.64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9.9</v>
        <stp/>
        <stp>MARK</stp>
        <stp>SHLS</stp>
        <tr r="C155" s="1"/>
      </tp>
      <tp>
        <v>3.13</v>
        <stp/>
        <stp>MARK</stp>
        <stp>DOMO</stp>
        <tr r="C227" s="1"/>
      </tp>
      <tp>
        <v>5.92</v>
        <stp/>
        <stp>MARK</stp>
        <stp>ROLR</stp>
        <tr r="C114" s="1"/>
      </tp>
      <tp>
        <v>0.4521</v>
        <stp/>
        <stp>MARK</stp>
        <stp>EONR</stp>
        <tr r="C111" s="1"/>
      </tp>
      <tp>
        <v>8.9499999999999993</v>
        <stp/>
        <stp>MARK</stp>
        <stp>JOBY</stp>
        <tr r="C105" s="1"/>
      </tp>
      <tp>
        <v>0.63980000000000004</v>
        <stp/>
        <stp>MARK</stp>
        <stp>LOBO</stp>
        <tr r="C75" s="1"/>
      </tp>
      <tp>
        <v>4.4800000000000004</v>
        <stp/>
        <stp>MARK</stp>
        <stp>KOPN</stp>
        <tr r="C169" s="1"/>
      </tp>
      <tp>
        <v>5.88</v>
        <stp/>
        <stp>MARK</stp>
        <stp>EOSE</stp>
        <tr r="C102" s="1"/>
      </tp>
      <tp>
        <v>6.47</v>
        <stp/>
        <stp>MARK</stp>
        <stp>SOUN</stp>
        <tr r="C99" s="1"/>
      </tp>
      <tp>
        <v>3.45</v>
        <stp/>
        <stp>ASK</stp>
        <stp>LNVGF</stp>
        <tr r="H112" s="1"/>
      </tp>
      <tp>
        <v>1.2</v>
        <stp/>
        <stp>MARK</stp>
        <stp>NNOX</stp>
        <tr r="C212" s="1"/>
      </tp>
      <tp>
        <v>2.9</v>
        <stp/>
        <stp>MARK</stp>
        <stp>ANNA</stp>
        <tr r="C85" s="1"/>
      </tp>
      <tp>
        <v>18.190000000000001</v>
        <stp/>
        <stp>MARK</stp>
        <stp>QNCX</stp>
        <tr r="C154" s="1"/>
      </tp>
      <tp>
        <v>4.49</v>
        <stp/>
        <stp>MARK</stp>
        <stp>INDI</stp>
        <tr r="C161" s="1"/>
      </tp>
      <tp>
        <v>0.51900000000000002</v>
        <stp/>
        <stp>MARK</stp>
        <stp>GNPX</stp>
        <tr r="C160" s="1"/>
      </tp>
      <tp>
        <v>6.8</v>
        <stp/>
        <stp>MARK</stp>
        <stp>MNTS</stp>
        <tr r="C145" s="1"/>
      </tp>
      <tp>
        <v>4.8499999999999996</v>
        <stp/>
        <stp>MARK</stp>
        <stp>ZNTL</stp>
        <tr r="C166" s="1"/>
      </tp>
      <tp>
        <v>6.07</v>
        <stp/>
        <stp>MARK</stp>
        <stp>ENVX</stp>
        <tr r="C110" s="1"/>
      </tp>
      <tp>
        <v>1.38</v>
        <stp/>
        <stp>MARK</stp>
        <stp>ENVB</stp>
        <tr r="C177" s="1"/>
      </tp>
      <tp>
        <v>-0.18</v>
        <stp/>
        <stp>MARK_CHANGE</stp>
        <stp>QVCGP</stp>
        <tr r="D191" s="1"/>
      </tp>
      <tp>
        <v>2.2000000000000002</v>
        <stp/>
        <stp>MARK</stp>
        <stp>CMND</stp>
        <tr r="C77" s="1"/>
      </tp>
      <tp>
        <v>8.2799999999999994</v>
        <stp/>
        <stp>MARK</stp>
        <stp>NMAX</stp>
        <tr r="C78" s="1"/>
        <tr r="C185" s="1"/>
      </tp>
      <tp>
        <v>4.74</v>
        <stp/>
        <stp>MARK</stp>
        <stp>AMBP</stp>
        <tr r="C159" s="1"/>
      </tp>
      <tp>
        <v>0.64</v>
        <stp/>
        <stp>MARK</stp>
        <stp>PMEC</stp>
        <tr r="C129" s="1"/>
      </tp>
      <tp>
        <v>0.76880000000000004</v>
        <stp/>
        <stp>MARK</stp>
        <stp>TMDE</stp>
        <tr r="C116" s="1"/>
      </tp>
      <tp>
        <v>14.18</v>
        <stp/>
        <stp>MARK</stp>
        <stp>CMPS</stp>
        <tr r="C137" s="1"/>
      </tp>
      <tp>
        <v>7.08</v>
        <stp/>
        <stp>MARK</stp>
        <stp>IMSR</stp>
        <tr r="C127" s="1"/>
      </tp>
      <tp>
        <v>0.49059999999999998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1.52</v>
        <stp/>
        <stp>MARK</stp>
        <stp>CLIK</stp>
        <tr r="C193" s="1"/>
      </tp>
      <tp>
        <v>2.2000000000000002</v>
        <stp/>
        <stp>MARK</stp>
        <stp>GLND</stp>
        <tr r="C156" s="1"/>
      </tp>
      <tp>
        <v>1.35</v>
        <stp/>
        <stp>MARK</stp>
        <stp>SLNH</stp>
        <tr r="C88" s="1"/>
        <tr r="C148" s="1"/>
      </tp>
      <tp>
        <v>1.21</v>
        <stp/>
        <stp>MARK</stp>
        <stp>ELAB</stp>
        <tr r="C119" s="1"/>
      </tp>
      <tp>
        <v>0.45889999999999997</v>
        <stp/>
        <stp>MARK</stp>
        <stp>SLAI</stp>
        <tr r="C81" s="1"/>
      </tp>
      <tp>
        <v>7.91</v>
        <stp/>
        <stp>MARK</stp>
        <stp>ULCC</stp>
        <tr r="C153" s="1"/>
      </tp>
      <tp>
        <v>7.47</v>
        <stp/>
        <stp>MARK</stp>
        <stp>MLEC</stp>
        <tr r="C143" s="1"/>
      </tp>
      <tp>
        <v>1.65</v>
        <stp/>
        <stp>MARK</stp>
        <stp>WLDS</stp>
        <tr r="C215" s="1"/>
      </tp>
      <tp>
        <v>2.57</v>
        <stp/>
        <stp>MARK</stp>
        <stp>SLDP</stp>
        <tr r="C125" s="1"/>
      </tp>
      <tp>
        <v>3.94</v>
        <stp/>
        <stp>MARK</stp>
        <stp>ELDN</stp>
        <tr r="C225" s="1"/>
      </tp>
      <tp>
        <v>0.98499999999999999</v>
        <stp/>
        <stp>MARK</stp>
        <stp>ELPW</stp>
        <tr r="C201" s="1"/>
        <tr r="C73" s="1"/>
      </tp>
      <tp>
        <v>2.73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4.7300000000000004</v>
        <stp/>
        <stp>MARK</stp>
        <stp>ACHR</stp>
        <tr r="C107" s="1"/>
      </tp>
      <tp>
        <v>1.21</v>
        <stp/>
        <stp>MARK</stp>
        <stp>UCAR</stp>
        <tr r="C172" s="1"/>
      </tp>
      <tp>
        <v>0.67300000000000004</v>
        <stp/>
        <stp>MARK</stp>
        <stp>YCBD</stp>
        <tr r="C176" s="1"/>
      </tp>
      <tp>
        <v>5.81</v>
        <stp/>
        <stp>MARK</stp>
        <stp>ACDC</stp>
        <tr r="C142" s="1"/>
      </tp>
      <tp>
        <v>1.53</v>
        <stp/>
        <stp>MARK</stp>
        <stp>OCGN</stp>
        <tr r="C147" s="1"/>
      </tp>
      <tp>
        <v>1.55</v>
        <stp/>
        <stp>MARK</stp>
        <stp>ACXP</stp>
        <tr r="C228" s="1"/>
      </tp>
      <tp>
        <v>5.7</v>
        <stp/>
        <stp>MARK</stp>
        <stp>ACRS</stp>
        <tr r="C135" s="1"/>
      </tp>
      <tp>
        <v>2.97</v>
        <stp/>
        <stp>MARK</stp>
        <stp>GCTS</stp>
        <tr r="C149" s="1"/>
      </tp>
      <tp>
        <v>5.73</v>
        <stp/>
        <stp>MARK</stp>
        <stp>JBLU</stp>
        <tr r="C151" s="1"/>
      </tp>
      <tp>
        <v>9.56</v>
        <stp/>
        <stp>MARK</stp>
        <stp>MBLY</stp>
        <tr r="C171" s="1"/>
      </tp>
      <tp>
        <v>3.67</v>
        <stp/>
        <stp>MARK</stp>
        <stp>BBAI</stp>
        <tr r="C84" s="1"/>
      </tp>
      <tp>
        <v>11.45</v>
        <stp/>
        <stp>MARK</stp>
        <stp>ABSI</stp>
        <tr r="C138" s="1"/>
      </tp>
      <tp>
        <v>8.76</v>
        <stp/>
        <stp>MARK</stp>
        <stp>IBRX</stp>
        <tr r="C87" s="1"/>
      </tp>
      <tp>
        <v>0.87</v>
        <stp/>
        <stp>MARK</stp>
        <stp>WBUY</stp>
        <tr r="C204" s="1"/>
      </tp>
      <tp>
        <v>1.1599999999999999</v>
        <stp/>
        <stp>MARK</stp>
        <stp>ABTS</stp>
        <tr r="C194" s="1"/>
      </tp>
      <tp>
        <v>0.68700000000000006</v>
        <stp/>
        <stp>MARK</stp>
        <stp>ABTC</stp>
        <tr r="C106" s="1"/>
      </tp>
      <tp>
        <v>0.39200000000000002</v>
        <stp/>
        <stp>MARK</stp>
        <stp>GAME</stp>
        <tr r="C80" s="1"/>
      </tp>
      <tp>
        <v>1.68</v>
        <stp/>
        <stp>MARK</stp>
        <stp>PACB</stp>
        <tr r="C226" s="1"/>
      </tp>
      <tp>
        <v>3.15</v>
        <stp/>
        <stp>MARK</stp>
        <stp>LAES</stp>
        <tr r="C83" s="1"/>
      </tp>
      <tp>
        <v>10.97</v>
        <stp/>
        <stp>MARK</stp>
        <stp>PATH</stp>
        <tr r="C210" s="1"/>
      </tp>
      <tp>
        <v>5.79</v>
        <stp/>
        <stp>MARK</stp>
        <stp>SATL</stp>
        <tr r="C86" s="1"/>
      </tp>
      <tp>
        <v>1.29</v>
        <stp/>
        <stp>MARK</stp>
        <stp>BATL</stp>
        <tr r="C121" s="1"/>
      </tp>
      <tp>
        <v>0.89129999999999998</v>
        <stp/>
        <stp>MARK</stp>
        <stp>UAVS</stp>
        <tr r="C96" s="1"/>
      </tp>
      <tp>
        <v>6.59</v>
        <stp/>
        <stp>MARK</stp>
        <stp>PAVS</stp>
        <tr r="C216" s="1"/>
      </tp>
      <tp>
        <v>2.46</v>
        <stp/>
        <stp>BID</stp>
        <stp>LNVGF</stp>
        <tr r="G112" s="1"/>
      </tp>
      <tp>
        <v>7.55</v>
        <stp/>
        <stp>MARK</stp>
        <stp>AGPU</stp>
        <tr r="C70" s="1"/>
        <tr r="C184" s="1"/>
      </tp>
      <tp>
        <v>3.15</v>
        <stp/>
        <stp>MARK</stp>
        <stp>UGRO</stp>
        <tr r="C117" s="1"/>
      </tp>
      <tp>
        <v>3</v>
        <stp/>
        <stp>MARK</stp>
        <stp>EEIQ</stp>
        <tr r="C221" s="1"/>
      </tp>
      <tp>
        <v>1.88</v>
        <stp/>
        <stp>MARK</stp>
        <stp>RENX</stp>
        <tr r="C162" s="1"/>
      </tp>
      <tp>
        <v>1.5</v>
        <stp/>
        <stp>MARK</stp>
        <stp>ZENA</stp>
        <tr r="C123" s="1"/>
      </tp>
      <tp>
        <v>5.99</v>
        <stp/>
        <stp>MARK</stp>
        <stp>WEAV</stp>
        <tr r="C220" s="1"/>
      </tp>
      <tp>
        <v>1.2</v>
        <stp/>
        <stp>MARK</stp>
        <stp>RECT</stp>
        <tr r="C133" s="1"/>
      </tp>
      <tp>
        <v>5.74</v>
        <stp/>
        <stp>MARK</stp>
        <stp>KEEL</stp>
        <tr r="C128" s="1"/>
        <tr r="C173" s="1"/>
      </tp>
      <tp>
        <v>11.19</v>
        <stp/>
        <stp>MARK</stp>
        <stp>REPL</stp>
        <tr r="C122" s="1"/>
        <tr r="C175" s="1"/>
      </tp>
      <tp>
        <v>2.5152000000000001</v>
        <stp/>
        <stp>MARK</stp>
        <stp>RETO</stp>
        <tr r="C72" s="1"/>
      </tp>
      <tp>
        <v>0.5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5.77</v>
        <stp/>
        <stp>MARK</stp>
        <stp>TDIC</stp>
        <tr r="C168" s="1"/>
      </tp>
      <tp>
        <v>1.1499999999999999</v>
        <stp/>
        <stp>MARK</stp>
        <stp>BDMD</stp>
        <tr r="C141" s="1"/>
      </tp>
      <tp>
        <v>4.49</v>
        <stp/>
        <stp>MARK</stp>
        <stp>CDLX</stp>
        <tr r="C146" s="1"/>
      </tp>
      <tp>
        <v>21.5</v>
        <stp/>
        <stp>MARK</stp>
        <stp>JDZG</stp>
        <tr r="C152" s="1"/>
      </tp>
      <tp>
        <v>0.55000000000000004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 t="s">
        <v>loading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 t="s">
        <v>loading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 t="s">
        <v>loading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40021</v>
        <stp/>
        <stp>VOLUME</stp>
        <stp>PATH</stp>
        <tr r="F210" s="1"/>
      </tp>
      <tp>
        <v>37630</v>
        <stp/>
        <stp>VOLUME</stp>
        <stp>SATL</stp>
        <tr r="F86" s="1"/>
      </tp>
      <tp>
        <v>159506</v>
        <stp/>
        <stp>VOLUME</stp>
        <stp>BATL</stp>
        <tr r="F121" s="1"/>
      </tp>
      <tp>
        <v>5637</v>
        <stp/>
        <stp>VOLUME</stp>
        <stp>UAVS</stp>
        <tr r="F96" s="1"/>
      </tp>
      <tp>
        <v>65442</v>
        <stp/>
        <stp>VOLUME</stp>
        <stp>PAVS</stp>
        <tr r="F216" s="1"/>
      </tp>
      <tp>
        <v>1575</v>
        <stp/>
        <stp>VOLUME</stp>
        <stp>GAME</stp>
        <tr r="F80" s="1"/>
      </tp>
      <tp>
        <v>83533</v>
        <stp/>
        <stp>VOLUME</stp>
        <stp>LAES</stp>
        <tr r="F83" s="1"/>
      </tp>
      <tp>
        <v>3956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 t="s">
        <v>loading</v>
        <stp/>
        <stp>CUSTOM2</stp>
        <stp>NMAX</stp>
        <tr r="K185" s="1"/>
        <tr r="K78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 t="s">
        <v>N/A</v>
        <stp/>
        <stp>VOLUME</stp>
        <stp>WBUY</stp>
        <tr r="F204" s="1"/>
      </tp>
      <tp>
        <v>65533</v>
        <stp/>
        <stp>VOLUME</stp>
        <stp>ABTC</stp>
        <tr r="F106" s="1"/>
      </tp>
      <tp>
        <v>71</v>
        <stp/>
        <stp>VOLUME</stp>
        <stp>ABTS</stp>
        <tr r="F194" s="1"/>
      </tp>
      <tp>
        <v>8864</v>
        <stp/>
        <stp>VOLUME</stp>
        <stp>ABSI</stp>
        <tr r="F138" s="1"/>
      </tp>
      <tp>
        <v>5704</v>
        <stp/>
        <stp>VOLUME</stp>
        <stp>IBRX</stp>
        <tr r="F87" s="1"/>
      </tp>
      <tp>
        <v>44</v>
        <stp/>
        <stp>VOLUME</stp>
        <stp>JBLU</stp>
        <tr r="F151" s="1"/>
      </tp>
      <tp>
        <v>33516</v>
        <stp/>
        <stp>VOLUME</stp>
        <stp>MBLY</stp>
        <tr r="F171" s="1"/>
      </tp>
      <tp>
        <v>55140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3,128 M</v>
        <stp/>
        <stp>MARKET_CAP</stp>
        <stp>GPK</stp>
        <tr r="I140" s="1"/>
      </tp>
      <tp t="s">
        <v>loading</v>
        <stp/>
        <stp>CUSTOM2</stp>
        <stp>GLND</stp>
        <tr r="K156" s="1"/>
      </tp>
      <tp>
        <v>34.61</v>
        <stp/>
        <stp>CUSTOM2</stp>
        <stp>SLNH</stp>
        <tr r="K148" s="1"/>
        <tr r="K88" s="1"/>
      </tp>
      <tp t="s">
        <v>864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88" s="1"/>
        <tr r="J14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 t="s">
        <v>loading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7</v>
        <stp/>
        <stp>VOLUME</stp>
        <stp>ACXP</stp>
        <tr r="F228" s="1"/>
      </tp>
      <tp>
        <v>14402</v>
        <stp/>
        <stp>VOLUME</stp>
        <stp>GCTS</stp>
        <tr r="F149" s="1"/>
      </tp>
      <tp>
        <v>7345</v>
        <stp/>
        <stp>VOLUME</stp>
        <stp>ACRS</stp>
        <tr r="F135" s="1"/>
      </tp>
      <tp>
        <v>37214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24</v>
        <stp/>
        <stp>VOLUME</stp>
        <stp>ACDC</stp>
        <tr r="F142" s="1"/>
      </tp>
      <tp>
        <v>19502</v>
        <stp/>
        <stp>VOLUME</stp>
        <stp>OCGN</stp>
        <tr r="F147" s="1"/>
      </tp>
      <tp>
        <v>1943</v>
        <stp/>
        <stp>VOLUME</stp>
        <stp>UCAR</stp>
        <tr r="F172" s="1"/>
      </tp>
      <tp t="s">
        <v>loading</v>
        <stp/>
        <stp>CUSTOM2</stp>
        <stp>TRX</stp>
        <tr r="K97" s="1"/>
      </tp>
      <tp t="s">
        <v>loading</v>
        <stp/>
        <stp>CUSTOM3</stp>
        <stp>TRX</stp>
        <tr r="J97" s="1"/>
      </tp>
      <tp>
        <v>90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460</v>
        <stp/>
        <stp>VOLUME</stp>
        <stp>BDMD</stp>
        <tr r="F141" s="1"/>
      </tp>
      <tp t="s">
        <v>N/A</v>
        <stp/>
        <stp>VOLUME</stp>
        <stp>CDLX</stp>
        <tr r="F146" s="1"/>
      </tp>
      <tp>
        <v>6442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 t="s">
        <v>loading</v>
        <stp/>
        <stp>CUSTOM2</stp>
        <stp>FJET</stp>
        <tr r="K195" s="1"/>
      </tp>
      <tp t="s">
        <v>173 M</v>
        <stp/>
        <stp>MARKET_CAP</stp>
        <stp>ACB</stp>
        <tr r="I222" s="1"/>
      </tp>
      <tp t="s">
        <v>591 M</v>
        <stp/>
        <stp>MARKET_CAP</stp>
        <stp>ALT</stp>
        <tr r="I189" s="1"/>
      </tp>
      <tp t="s">
        <v>N/A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527</v>
        <stp/>
        <stp>VOLUME</stp>
        <stp>REPL</stp>
        <tr r="F122" s="1"/>
        <tr r="F175" s="1"/>
      </tp>
      <tp>
        <v>6152</v>
        <stp/>
        <stp>VOLUME</stp>
        <stp>ZENA</stp>
        <tr r="F123" s="1"/>
      </tp>
      <tp>
        <v>736</v>
        <stp/>
        <stp>VOLUME</stp>
        <stp>RENX</stp>
        <tr r="F162" s="1"/>
      </tp>
      <tp>
        <v>12275</v>
        <stp/>
        <stp>VOLUME</stp>
        <stp>EEIQ</stp>
        <tr r="F221" s="1"/>
      </tp>
      <tp>
        <v>39861</v>
        <stp/>
        <stp>VOLUME</stp>
        <stp>KEEL</stp>
        <tr r="F173" s="1"/>
        <tr r="F128" s="1"/>
      </tp>
      <tp>
        <v>343</v>
        <stp/>
        <stp>VOLUME</stp>
        <stp>WEAV</stp>
        <tr r="F220" s="1"/>
      </tp>
      <tp t="s">
        <v>N/A</v>
        <stp/>
        <stp>VOLUME</stp>
        <stp>RECT</stp>
        <tr r="F133" s="1"/>
      </tp>
      <tp t="s">
        <v>4,983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 t="s">
        <v>loading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30" s="1"/>
        <tr r="K179" s="1"/>
      </tp>
      <tp>
        <v>55.915599999999998</v>
        <stp/>
        <stp>CUSTOM2</stp>
        <stp>BIYA</stp>
        <tr r="K71" s="1"/>
      </tp>
      <tp t="s">
        <v>loading</v>
        <stp/>
        <stp>CUSTOM3</stp>
        <stp>AIXI</stp>
        <tr r="J179" s="1"/>
        <tr r="J130" s="1"/>
      </tp>
      <tp t="s">
        <v>loading</v>
        <stp/>
        <stp>CUSTOM2</stp>
        <stp>HIVE</stp>
        <tr r="K98" s="1"/>
      </tp>
      <tp t="s">
        <v>loading</v>
        <stp/>
        <stp>CUSTOM3</stp>
        <stp>HIVE</stp>
        <tr r="J98" s="1"/>
      </tp>
      <tp t="s">
        <v>loading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1,209 M</v>
        <stp/>
        <stp>MARKET_CAP</stp>
        <stp>CXM</stp>
        <tr r="I206" s="1"/>
      </tp>
      <tp t="s">
        <v>471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79" s="1"/>
        <tr r="J213" s="1"/>
      </tp>
      <tp t="s">
        <v>loading</v>
        <stp/>
        <stp>CUSTOM2</stp>
        <stp>PBM</stp>
        <tr r="K79" s="1"/>
        <tr r="K213" s="1"/>
      </tp>
      <tp>
        <v>106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3,890 M</v>
        <stp/>
        <stp>MARKET_CAP</stp>
        <stp>LPL</stp>
        <tr r="I186" s="1"/>
      </tp>
      <tp t="s">
        <v>1,352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2216</v>
        <stp/>
        <stp>VOLUME</stp>
        <stp>SHLS</stp>
        <tr r="F155" s="1"/>
      </tp>
      <tp>
        <v>1868866</v>
        <stp/>
        <stp>VOLUME</stp>
        <stp>BIYA</stp>
        <tr r="F71" s="1"/>
      </tp>
      <tp>
        <v>108948</v>
        <stp/>
        <stp>VOLUME</stp>
        <stp>AIXI</stp>
        <tr r="F130" s="1"/>
        <tr r="F179" s="1"/>
      </tp>
      <tp>
        <v>31744</v>
        <stp/>
        <stp>VOLUME</stp>
        <stp>HIVE</stp>
        <tr r="F98" s="1"/>
      </tp>
      <tp>
        <v>38226</v>
        <stp/>
        <stp>VOLUME</stp>
        <stp>SIDU</stp>
        <tr r="F223" s="1"/>
        <tr r="F115" s="1"/>
      </tp>
      <tp>
        <v>2093</v>
        <stp/>
        <stp>VOLUME</stp>
        <stp>KIDZ</stp>
        <tr r="F74" s="1"/>
      </tp>
      <tp>
        <v>3753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53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73" s="1"/>
        <tr r="J128" s="1"/>
      </tp>
      <tp t="s">
        <v>loading</v>
        <stp/>
        <stp>CUSTOM2</stp>
        <stp>KEEL</stp>
        <tr r="K173" s="1"/>
        <tr r="K128" s="1"/>
      </tp>
      <tp t="s">
        <v>loading</v>
        <stp/>
        <stp>CUSTOM2</stp>
        <stp>REPL</stp>
        <tr r="K122" s="1"/>
        <tr r="K175" s="1"/>
      </tp>
      <tp t="s">
        <v>loading</v>
        <stp/>
        <stp>CUSTOM3</stp>
        <stp>REPL</stp>
        <tr r="J122" s="1"/>
        <tr r="J175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1204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 t="s">
        <v>N/A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715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1,288 M</v>
        <stp/>
        <stp>MARKET_CAP</stp>
        <stp>HLX</stp>
        <tr r="I150" s="1"/>
      </tp>
      <tp>
        <v>263329</v>
        <stp/>
        <stp>VOLUME</stp>
        <stp>PLUG</stp>
        <tr r="F104" s="1"/>
      </tp>
      <tp>
        <v>9708</v>
        <stp/>
        <stp>VOLUME</stp>
        <stp>ELPW</stp>
        <tr r="F201" s="1"/>
        <tr r="F73" s="1"/>
      </tp>
      <tp>
        <v>3345</v>
        <stp/>
        <stp>VOLUME</stp>
        <stp>GLND</stp>
        <tr r="F156" s="1"/>
      </tp>
      <tp>
        <v>54174</v>
        <stp/>
        <stp>VOLUME</stp>
        <stp>SLNH</stp>
        <tr r="F148" s="1"/>
        <tr r="F88" s="1"/>
      </tp>
      <tp>
        <v>2566</v>
        <stp/>
        <stp>VOLUME</stp>
        <stp>CLIK</stp>
        <tr r="F193" s="1"/>
      </tp>
      <tp>
        <v>12</v>
        <stp/>
        <stp>VOLUME</stp>
        <stp>MLEC</stp>
        <tr r="F143" s="1"/>
      </tp>
      <tp>
        <v>279</v>
        <stp/>
        <stp>VOLUME</stp>
        <stp>ELDN</stp>
        <tr r="F225" s="1"/>
      </tp>
      <tp>
        <v>86707</v>
        <stp/>
        <stp>VOLUME</stp>
        <stp>SLDP</stp>
        <tr r="F125" s="1"/>
      </tp>
      <tp>
        <v>259</v>
        <stp/>
        <stp>VOLUME</stp>
        <stp>WLDS</stp>
        <tr r="F215" s="1"/>
      </tp>
      <tp>
        <v>29175</v>
        <stp/>
        <stp>VOLUME</stp>
        <stp>ELAB</stp>
        <tr r="F119" s="1"/>
      </tp>
      <tp>
        <v>302</v>
        <stp/>
        <stp>VOLUME</stp>
        <stp>SLAI</stp>
        <tr r="F81" s="1"/>
      </tp>
      <tp>
        <v>27</v>
        <stp/>
        <stp>VOLUME</stp>
        <stp>ULCC</stp>
        <tr r="F153" s="1"/>
      </tp>
      <tp t="s">
        <v>1.4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268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>
        <v>76.260000000000005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426 M</v>
        <stp/>
        <stp>MARKET_CAP</stp>
        <stp>INV</stp>
        <tr r="I163" s="1"/>
      </tp>
      <tp t="s">
        <v>loading</v>
        <stp/>
        <stp>CUSTOM3</stp>
        <stp>WBUY</stp>
        <tr r="J204" s="1"/>
      </tp>
      <tp t="s">
        <v>loading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540</v>
        <stp/>
        <stp>VOLUME</stp>
        <stp>CMPS</stp>
        <tr r="F137" s="1"/>
      </tp>
      <tp>
        <v>3140</v>
        <stp/>
        <stp>VOLUME</stp>
        <stp>RMSG</stp>
        <tr r="F202" s="1"/>
      </tp>
      <tp>
        <v>5076</v>
        <stp/>
        <stp>VOLUME</stp>
        <stp>IMSR</stp>
        <tr r="F127" s="1"/>
      </tp>
      <tp>
        <v>20781</v>
        <stp/>
        <stp>VOLUME</stp>
        <stp>CMND</stp>
        <tr r="F77" s="1"/>
      </tp>
      <tp>
        <v>1</v>
        <stp/>
        <stp>VOLUME</stp>
        <stp>PMEC</stp>
        <tr r="F129" s="1"/>
      </tp>
      <tp>
        <v>14903</v>
        <stp/>
        <stp>VOLUME</stp>
        <stp>TMDE</stp>
        <tr r="F116" s="1"/>
      </tp>
      <tp>
        <v>1353</v>
        <stp/>
        <stp>VOLUME</stp>
        <stp>NMAX</stp>
        <tr r="F78" s="1"/>
        <tr r="F185" s="1"/>
      </tp>
      <tp t="s">
        <v>N/A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7.2 M</v>
        <stp/>
        <stp>MARKET_CAP</stp>
        <stp>JEM</stp>
        <tr r="I199" s="1"/>
      </tp>
      <tp t="s">
        <v>loading</v>
        <stp/>
        <stp>CUSTOM2</stp>
        <stp>PATH</stp>
        <tr r="K210" s="1"/>
      </tp>
      <tp t="s">
        <v>loading</v>
        <stp/>
        <stp>CUSTOM2</stp>
        <stp>SATL</stp>
        <tr r="K86" s="1"/>
      </tp>
      <tp t="s">
        <v>loading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 t="s">
        <v>N/A</v>
        <stp/>
        <stp>VOLUME</stp>
        <stp>ADSLF</stp>
        <tr r="F108" s="1"/>
      </tp>
      <tp>
        <v>361</v>
        <stp/>
        <stp>VOLUME</stp>
        <stp>ZNTL</stp>
        <tr r="F166" s="1"/>
      </tp>
      <tp>
        <v>13720</v>
        <stp/>
        <stp>VOLUME</stp>
        <stp>MNTS</stp>
        <tr r="F145" s="1"/>
      </tp>
      <tp>
        <v>135</v>
        <stp/>
        <stp>VOLUME</stp>
        <stp>ENVB</stp>
        <tr r="F177" s="1"/>
      </tp>
      <tp>
        <v>1299</v>
        <stp/>
        <stp>VOLUME</stp>
        <stp>ENVX</stp>
        <tr r="F110" s="1"/>
      </tp>
      <tp>
        <v>70</v>
        <stp/>
        <stp>VOLUME</stp>
        <stp>GNPX</stp>
        <tr r="F160" s="1"/>
      </tp>
      <tp>
        <v>15560</v>
        <stp/>
        <stp>VOLUME</stp>
        <stp>NNOX</stp>
        <tr r="F212" s="1"/>
      </tp>
      <tp>
        <v>313</v>
        <stp/>
        <stp>VOLUME</stp>
        <stp>ANNA</stp>
        <tr r="F85" s="1"/>
      </tp>
      <tp>
        <v>16195</v>
        <stp/>
        <stp>VOLUME</stp>
        <stp>INDI</stp>
        <tr r="F161" s="1"/>
      </tp>
      <tp>
        <v>1350</v>
        <stp/>
        <stp>VOLUME</stp>
        <stp>QNCX</stp>
        <tr r="F154" s="1"/>
      </tp>
      <tp t="s">
        <v>N/A</v>
        <stp/>
        <stp>VOLUME</stp>
        <stp>PSRHF</stp>
        <tr r="F197" s="1"/>
      </tp>
      <tp t="s">
        <v>N/A</v>
        <stp/>
        <stp>VOLUME</stp>
        <stp>CURLF</stp>
        <tr r="F192" s="1"/>
      </tp>
      <tp>
        <v>58841</v>
        <stp/>
        <stp>VOLUME</stp>
        <stp>SOUN</stp>
        <tr r="F99" s="1"/>
      </tp>
      <tp>
        <v>3195</v>
        <stp/>
        <stp>VOLUME</stp>
        <stp>KOPN</stp>
        <tr r="F169" s="1"/>
      </tp>
      <tp>
        <v>87061</v>
        <stp/>
        <stp>VOLUME</stp>
        <stp>EOSE</stp>
        <tr r="F102" s="1"/>
      </tp>
      <tp>
        <v>5724</v>
        <stp/>
        <stp>VOLUME</stp>
        <stp>DOMO</stp>
        <tr r="F227" s="1"/>
      </tp>
      <tp>
        <v>271</v>
        <stp/>
        <stp>VOLUME</stp>
        <stp>ROLR</stp>
        <tr r="F114" s="1"/>
      </tp>
      <tp>
        <v>8354</v>
        <stp/>
        <stp>VOLUME</stp>
        <stp>EONR</stp>
        <tr r="F111" s="1"/>
      </tp>
      <tp>
        <v>631</v>
        <stp/>
        <stp>VOLUME</stp>
        <stp>LOBO</stp>
        <tr r="F75" s="1"/>
      </tp>
      <tp>
        <v>219290</v>
        <stp/>
        <stp>VOLUME</stp>
        <stp>JOBY</stp>
        <tr r="F105" s="1"/>
      </tp>
      <tp t="s">
        <v>269 M</v>
        <stp/>
        <stp>MARKET_CAP</stp>
        <stp>TRX</stp>
        <tr r="I97" s="1"/>
      </tp>
      <tp t="s">
        <v>496 M</v>
        <stp/>
        <stp>MARKET_CAP</stp>
        <stp>TWI</stp>
        <tr r="I136" s="1"/>
      </tp>
      <tp>
        <v>3</v>
        <stp/>
        <stp>VOLUME</stp>
        <stp>IPST</stp>
        <tr r="F182" s="1"/>
      </tp>
      <tp>
        <v>4</v>
        <stp/>
        <stp>VOLUME</stp>
        <stp>CPIX</stp>
        <tr r="F180" s="1"/>
      </tp>
      <tp>
        <v>68422</v>
        <stp/>
        <stp>VOLUME</stp>
        <stp>OPEN</stp>
        <tr r="F101" s="1"/>
      </tp>
      <tp>
        <v>116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1702</v>
        <stp/>
        <stp>VOLUME</stp>
        <stp>PRZO</stp>
        <tr r="F124" s="1"/>
      </tp>
      <tp>
        <v>6390</v>
        <stp/>
        <stp>VOLUME</stp>
        <stp>FRSH</stp>
        <tr r="F203" s="1"/>
      </tp>
      <tp>
        <v>4436</v>
        <stp/>
        <stp>VOLUME</stp>
        <stp>FRMI</stp>
        <tr r="F158" s="1"/>
      </tp>
      <tp>
        <v>811</v>
        <stp/>
        <stp>VOLUME</stp>
        <stp>TRON</stp>
        <tr r="F208" s="1"/>
      </tp>
      <tp t="s">
        <v>N/A</v>
        <stp/>
        <stp>VOLUME</stp>
        <stp>VRNO</stp>
        <tr r="F205" s="1"/>
      </tp>
      <tp>
        <v>1168</v>
        <stp/>
        <stp>VOLUME</stp>
        <stp>LRHC</stp>
        <tr r="F187" s="1"/>
      </tp>
      <tp>
        <v>1280</v>
        <stp/>
        <stp>VOLUME</stp>
        <stp>KREF</stp>
        <tr r="F188" s="1"/>
      </tp>
      <tp>
        <v>320904</v>
        <stp/>
        <stp>VOLUME</stp>
        <stp>SRFM</stp>
        <tr r="F95" s="1"/>
        <tr r="F232" s="1"/>
      </tp>
      <tp>
        <v>29222</v>
        <stp/>
        <stp>VOLUME</stp>
        <stp>ORBS</stp>
        <tr r="F92" s="1"/>
      </tp>
      <tp>
        <v>9861912</v>
        <stp/>
        <stp>VOLUME</stp>
        <stp>GSUN</stp>
        <tr r="F82" s="1"/>
      </tp>
      <tp>
        <v>957</v>
        <stp/>
        <stp>VOLUME</stp>
        <stp>ASTI</stp>
        <tr r="F174" s="1"/>
        <tr r="F131" s="1"/>
      </tp>
      <tp t="s">
        <v>N/A</v>
        <stp/>
        <stp>VOLUME</stp>
        <stp>ZSPC</stp>
        <tr r="F69" s="1"/>
      </tp>
      <tp>
        <v>6702</v>
        <stp/>
        <stp>VOLUME</stp>
        <stp>GSIT</stp>
        <tr r="F217" s="1"/>
      </tp>
      <tp>
        <v>1347</v>
        <stp/>
        <stp>VOLUME</stp>
        <stp>ASAN</stp>
        <tr r="F196" s="1"/>
      </tp>
      <tp>
        <v>9.49</v>
        <stp/>
        <stp>MARK</stp>
        <stp>TE</stp>
        <tr r="C94" s="1"/>
      </tp>
      <tp>
        <v>2.11</v>
        <stp/>
        <stp>MARK</stp>
        <stp>RR</stp>
        <tr r="C103" s="1"/>
      </tp>
      <tp>
        <v>9.75</v>
        <stp/>
        <stp>MARK</stp>
        <stp>PD</stp>
        <tr r="C231" s="1"/>
      </tp>
      <tp>
        <v>7.52</v>
        <stp/>
        <stp>MARK</stp>
        <stp>QS</stp>
        <tr r="C170" s="1"/>
        <tr r="C132" s="1"/>
      </tp>
      <tp t="s">
        <v>12 M</v>
        <stp/>
        <stp>MARKET_CAP</stp>
        <stp>PBM</stp>
        <tr r="I213" s="1"/>
        <tr r="I79" s="1"/>
      </tp>
      <tp t="s">
        <v>1,628 M</v>
        <stp/>
        <stp>MARKET_CAP</stp>
        <stp>PCT</stp>
        <tr r="I167" s="1"/>
      </tp>
      <tp>
        <v>1.31</v>
        <stp/>
        <stp>MARK</stp>
        <stp>EU</stp>
        <tr r="C120" s="1"/>
      </tp>
      <tp>
        <v>4.7300000000000004</v>
        <stp/>
        <stp>MARK</stp>
        <stp>MX</stp>
        <tr r="C113" s="1"/>
      </tp>
      <tp>
        <v>2674</v>
        <stp/>
        <stp>VOLUME</stp>
        <stp>NTSK</stp>
        <tr r="F224" s="1"/>
      </tp>
      <tp t="s">
        <v>N/A</v>
        <stp/>
        <stp>VOLUME</stp>
        <stp>FTRE</stp>
        <tr r="F200" s="1"/>
      </tp>
      <tp>
        <v>84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9226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16229</v>
        <stp/>
        <stp>VOLUME</stp>
        <stp>AUUD</stp>
        <tr r="F181" s="1"/>
      </tp>
      <tp>
        <v>758</v>
        <stp/>
        <stp>VOLUME</stp>
        <stp>FULC</stp>
        <tr r="F164" s="1"/>
      </tp>
      <tp>
        <v>15727</v>
        <stp/>
        <stp>VOLUME</stp>
        <stp>BULL</stp>
        <tr r="F89" s="1"/>
      </tp>
      <tp t="s">
        <v>loading</v>
        <stp/>
        <stp>CUSTOM3</stp>
        <stp>BTG</stp>
        <tr r="J139" s="1"/>
      </tp>
      <tp t="s">
        <v>loading</v>
        <stp/>
        <stp>CUSTOM2</stp>
        <stp>BTG</stp>
        <tr r="K139" s="1"/>
      </tp>
      <tp>
        <v>22377</v>
        <stp/>
        <stp>VOLUME</stp>
        <stp>NUAI</stp>
        <tr r="F93" s="1"/>
      </tp>
      <tp>
        <v>3131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1,292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27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19 M</v>
        <stp/>
        <stp>MARKET_CAP</stp>
        <stp>SST</stp>
        <tr r="I178" s="1"/>
      </tp>
      <tp t="s">
        <v>454 M</v>
        <stp/>
        <stp>MARKET_CAP</stp>
        <stp>SPT</stp>
        <tr r="I219" s="1"/>
      </tp>
      <tp t="s">
        <v>355 M</v>
        <stp/>
        <stp>MARKET_CAP</stp>
        <stp>SES</stp>
        <tr r="I126" s="1"/>
      </tp>
      <tp t="s">
        <v>8.7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 t="s">
        <v>loading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32" s="1"/>
        <tr r="J170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 t="s">
        <v>loading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90</v>
        <stp/>
        <stp>VOLUME</stp>
        <stp>KYTX</stp>
        <tr r="F207" s="1"/>
      </tp>
      <tp>
        <v>97351</v>
        <stp/>
        <stp>VOLUME</stp>
        <stp>BYND</stp>
        <tr r="F214" s="1"/>
      </tp>
      <tp>
        <v>238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 t="s">
        <v>loading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145064</v>
        <stp/>
        <stp>VOLUME</stp>
        <stp>JZXN</stp>
        <tr r="F91" s="1"/>
      </tp>
      <tp>
        <v>17089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 t="s">
        <v>loading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74" s="1"/>
        <tr r="K131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74" s="1"/>
        <tr r="J131" s="1"/>
      </tp>
      <tp t="s">
        <v>loading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 t="s">
        <v>loading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 t="s">
        <v>loading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 t="s">
        <v>loading</v>
        <stp/>
        <stp>CUSTOM3</stp>
        <stp>JEM</stp>
        <tr r="J199" s="1"/>
      </tp>
      <tp>
        <v>57.57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>
        <v>29.33</v>
        <stp/>
        <stp>CUSTOM2</stp>
        <stp>HTZ</stp>
        <tr r="K230" s="1"/>
      </tp>
      <tp t="s">
        <v>loading</v>
        <stp/>
        <stp>CUSTOM3</stp>
        <stp>HTZ</stp>
        <tr r="J230" s="1"/>
      </tp>
      <tp>
        <v>99224</v>
        <stp/>
        <stp>VOLUME</stp>
        <stp>TE</stp>
        <tr r="F94" s="1"/>
      </tp>
      <tp>
        <v>32255</v>
        <stp/>
        <stp>VOLUME</stp>
        <stp>QS</stp>
        <tr r="F132" s="1"/>
        <tr r="F170" s="1"/>
      </tp>
      <tp>
        <v>2121</v>
        <stp/>
        <stp>VOLUME</stp>
        <stp>PD</stp>
        <tr r="F231" s="1"/>
      </tp>
      <tp>
        <v>29116</v>
        <stp/>
        <stp>VOLUME</stp>
        <stp>RR</stp>
        <tr r="F103" s="1"/>
      </tp>
      <tp>
        <v>7567</v>
        <stp/>
        <stp>VOLUME</stp>
        <stp>EU</stp>
        <tr r="F120" s="1"/>
      </tp>
      <tp>
        <v>11559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145"/>
  <sheetViews>
    <sheetView tabSelected="1" topLeftCell="A136" zoomScaleNormal="100" workbookViewId="0">
      <selection activeCell="F141" sqref="F141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168</v>
      </c>
    </row>
    <row r="2" spans="1:1" x14ac:dyDescent="0.25">
      <c r="A2" t="s">
        <v>208</v>
      </c>
    </row>
    <row r="3" spans="1:1" x14ac:dyDescent="0.25">
      <c r="A3" t="s">
        <v>100</v>
      </c>
    </row>
    <row r="4" spans="1:1" x14ac:dyDescent="0.25">
      <c r="A4" t="s">
        <v>209</v>
      </c>
    </row>
    <row r="5" spans="1:1" x14ac:dyDescent="0.25">
      <c r="A5" t="s">
        <v>210</v>
      </c>
    </row>
    <row r="6" spans="1:1" x14ac:dyDescent="0.25">
      <c r="A6" t="s">
        <v>211</v>
      </c>
    </row>
    <row r="7" spans="1:1" x14ac:dyDescent="0.25">
      <c r="A7" t="s">
        <v>181</v>
      </c>
    </row>
    <row r="8" spans="1:1" x14ac:dyDescent="0.25">
      <c r="A8" t="s">
        <v>212</v>
      </c>
    </row>
    <row r="9" spans="1:1" x14ac:dyDescent="0.25">
      <c r="A9" t="s">
        <v>213</v>
      </c>
    </row>
    <row r="10" spans="1:1" x14ac:dyDescent="0.25">
      <c r="A10" t="s">
        <v>197</v>
      </c>
    </row>
    <row r="11" spans="1:1" x14ac:dyDescent="0.25">
      <c r="A11" t="s">
        <v>214</v>
      </c>
    </row>
    <row r="12" spans="1:1" x14ac:dyDescent="0.25">
      <c r="A12" t="s">
        <v>215</v>
      </c>
    </row>
    <row r="13" spans="1:1" x14ac:dyDescent="0.25">
      <c r="A13" t="s">
        <v>216</v>
      </c>
    </row>
    <row r="14" spans="1:1" x14ac:dyDescent="0.25">
      <c r="A14" t="s">
        <v>217</v>
      </c>
    </row>
    <row r="15" spans="1:1" x14ac:dyDescent="0.25">
      <c r="A15" t="s">
        <v>218</v>
      </c>
    </row>
    <row r="16" spans="1:1" x14ac:dyDescent="0.25">
      <c r="A16" t="s">
        <v>219</v>
      </c>
    </row>
    <row r="17" spans="1:1" x14ac:dyDescent="0.25">
      <c r="A17" t="s">
        <v>220</v>
      </c>
    </row>
    <row r="18" spans="1:1" x14ac:dyDescent="0.25">
      <c r="A18" t="s">
        <v>221</v>
      </c>
    </row>
    <row r="19" spans="1:1" x14ac:dyDescent="0.25">
      <c r="A19" t="s">
        <v>222</v>
      </c>
    </row>
    <row r="20" spans="1:1" x14ac:dyDescent="0.25">
      <c r="A20" t="s">
        <v>223</v>
      </c>
    </row>
    <row r="21" spans="1:1" x14ac:dyDescent="0.25">
      <c r="A21" t="s">
        <v>193</v>
      </c>
    </row>
    <row r="22" spans="1:1" x14ac:dyDescent="0.25">
      <c r="A22" t="s">
        <v>224</v>
      </c>
    </row>
    <row r="23" spans="1:1" x14ac:dyDescent="0.25">
      <c r="A23" t="s">
        <v>92</v>
      </c>
    </row>
    <row r="24" spans="1:1" x14ac:dyDescent="0.25">
      <c r="A24" t="s">
        <v>225</v>
      </c>
    </row>
    <row r="25" spans="1:1" x14ac:dyDescent="0.25">
      <c r="A25" t="s">
        <v>226</v>
      </c>
    </row>
    <row r="26" spans="1:1" x14ac:dyDescent="0.25">
      <c r="A26" t="s">
        <v>227</v>
      </c>
    </row>
    <row r="27" spans="1:1" x14ac:dyDescent="0.25">
      <c r="A27" t="s">
        <v>228</v>
      </c>
    </row>
    <row r="28" spans="1:1" x14ac:dyDescent="0.25">
      <c r="A28" t="s">
        <v>229</v>
      </c>
    </row>
    <row r="29" spans="1:1" x14ac:dyDescent="0.25">
      <c r="A29" t="s">
        <v>194</v>
      </c>
    </row>
    <row r="30" spans="1:1" x14ac:dyDescent="0.25">
      <c r="A30" t="s">
        <v>230</v>
      </c>
    </row>
    <row r="31" spans="1:1" x14ac:dyDescent="0.25">
      <c r="A31" t="s">
        <v>231</v>
      </c>
    </row>
    <row r="32" spans="1:1" x14ac:dyDescent="0.25">
      <c r="A32" t="s">
        <v>195</v>
      </c>
    </row>
    <row r="33" spans="1:1" x14ac:dyDescent="0.25">
      <c r="A33" t="s">
        <v>232</v>
      </c>
    </row>
    <row r="34" spans="1:1" x14ac:dyDescent="0.25">
      <c r="A34" t="s">
        <v>233</v>
      </c>
    </row>
    <row r="35" spans="1:1" x14ac:dyDescent="0.25">
      <c r="A35" t="s">
        <v>234</v>
      </c>
    </row>
    <row r="36" spans="1:1" x14ac:dyDescent="0.25">
      <c r="A36" t="s">
        <v>235</v>
      </c>
    </row>
    <row r="37" spans="1:1" x14ac:dyDescent="0.25">
      <c r="A37" t="s">
        <v>236</v>
      </c>
    </row>
    <row r="38" spans="1:1" x14ac:dyDescent="0.25">
      <c r="A38" t="s">
        <v>237</v>
      </c>
    </row>
    <row r="39" spans="1:1" x14ac:dyDescent="0.25">
      <c r="A39" t="s">
        <v>4</v>
      </c>
    </row>
    <row r="40" spans="1:1" x14ac:dyDescent="0.25">
      <c r="A40" t="s">
        <v>200</v>
      </c>
    </row>
    <row r="41" spans="1:1" x14ac:dyDescent="0.25">
      <c r="A41" t="s">
        <v>191</v>
      </c>
    </row>
    <row r="42" spans="1:1" x14ac:dyDescent="0.25">
      <c r="A42" t="s">
        <v>238</v>
      </c>
    </row>
    <row r="43" spans="1:1" x14ac:dyDescent="0.25">
      <c r="A43" t="s">
        <v>239</v>
      </c>
    </row>
    <row r="44" spans="1:1" x14ac:dyDescent="0.25">
      <c r="A44" t="s">
        <v>204</v>
      </c>
    </row>
    <row r="45" spans="1:1" x14ac:dyDescent="0.25">
      <c r="A45" t="s">
        <v>202</v>
      </c>
    </row>
    <row r="46" spans="1:1" x14ac:dyDescent="0.25">
      <c r="A46" t="s">
        <v>240</v>
      </c>
    </row>
    <row r="47" spans="1:1" x14ac:dyDescent="0.25">
      <c r="A47" t="s">
        <v>241</v>
      </c>
    </row>
    <row r="48" spans="1:1" x14ac:dyDescent="0.25">
      <c r="A48" t="s">
        <v>242</v>
      </c>
    </row>
    <row r="49" spans="1:1" x14ac:dyDescent="0.25">
      <c r="A49" t="s">
        <v>243</v>
      </c>
    </row>
    <row r="50" spans="1:1" x14ac:dyDescent="0.25">
      <c r="A50" t="s">
        <v>201</v>
      </c>
    </row>
    <row r="51" spans="1:1" x14ac:dyDescent="0.25">
      <c r="A51" t="s">
        <v>244</v>
      </c>
    </row>
    <row r="52" spans="1:1" x14ac:dyDescent="0.25">
      <c r="A52" t="s">
        <v>245</v>
      </c>
    </row>
    <row r="53" spans="1:1" x14ac:dyDescent="0.25">
      <c r="A53" t="s">
        <v>246</v>
      </c>
    </row>
    <row r="54" spans="1:1" x14ac:dyDescent="0.25">
      <c r="A54" t="s">
        <v>247</v>
      </c>
    </row>
    <row r="55" spans="1:1" x14ac:dyDescent="0.25">
      <c r="A55" t="s">
        <v>248</v>
      </c>
    </row>
    <row r="56" spans="1:1" x14ac:dyDescent="0.25">
      <c r="A56" t="s">
        <v>249</v>
      </c>
    </row>
    <row r="57" spans="1:1" x14ac:dyDescent="0.25">
      <c r="A57" t="s">
        <v>250</v>
      </c>
    </row>
    <row r="58" spans="1:1" x14ac:dyDescent="0.25">
      <c r="A58" t="s">
        <v>32</v>
      </c>
    </row>
    <row r="59" spans="1:1" x14ac:dyDescent="0.25">
      <c r="A59" t="s">
        <v>121</v>
      </c>
    </row>
    <row r="60" spans="1:1" x14ac:dyDescent="0.25">
      <c r="A60" t="s">
        <v>184</v>
      </c>
    </row>
    <row r="61" spans="1:1" x14ac:dyDescent="0.25">
      <c r="A61" t="s">
        <v>28</v>
      </c>
    </row>
    <row r="62" spans="1:1" x14ac:dyDescent="0.25">
      <c r="A62" t="s">
        <v>48</v>
      </c>
    </row>
    <row r="63" spans="1:1" x14ac:dyDescent="0.25">
      <c r="A63" t="s">
        <v>251</v>
      </c>
    </row>
    <row r="64" spans="1:1" x14ac:dyDescent="0.25">
      <c r="A64" t="s">
        <v>252</v>
      </c>
    </row>
    <row r="65" spans="1:1" x14ac:dyDescent="0.25">
      <c r="A65" t="s">
        <v>253</v>
      </c>
    </row>
    <row r="66" spans="1:1" x14ac:dyDescent="0.25">
      <c r="A66" t="s">
        <v>254</v>
      </c>
    </row>
    <row r="67" spans="1:1" x14ac:dyDescent="0.25">
      <c r="A67" t="s">
        <v>198</v>
      </c>
    </row>
    <row r="68" spans="1:1" x14ac:dyDescent="0.25">
      <c r="A68" t="s">
        <v>205</v>
      </c>
    </row>
    <row r="69" spans="1:1" x14ac:dyDescent="0.25">
      <c r="A69" t="s">
        <v>255</v>
      </c>
    </row>
    <row r="70" spans="1:1" x14ac:dyDescent="0.25">
      <c r="A70" t="s">
        <v>256</v>
      </c>
    </row>
    <row r="71" spans="1:1" x14ac:dyDescent="0.25">
      <c r="A71" t="s">
        <v>257</v>
      </c>
    </row>
    <row r="72" spans="1:1" x14ac:dyDescent="0.25">
      <c r="A72" t="s">
        <v>203</v>
      </c>
    </row>
    <row r="73" spans="1:1" x14ac:dyDescent="0.25">
      <c r="A73" t="s">
        <v>258</v>
      </c>
    </row>
    <row r="74" spans="1:1" x14ac:dyDescent="0.25">
      <c r="A74" t="s">
        <v>109</v>
      </c>
    </row>
    <row r="75" spans="1:1" x14ac:dyDescent="0.25">
      <c r="A75" t="s">
        <v>259</v>
      </c>
    </row>
    <row r="76" spans="1:1" x14ac:dyDescent="0.25">
      <c r="A76" t="s">
        <v>260</v>
      </c>
    </row>
    <row r="77" spans="1:1" x14ac:dyDescent="0.25">
      <c r="A77" t="s">
        <v>261</v>
      </c>
    </row>
    <row r="78" spans="1:1" x14ac:dyDescent="0.25">
      <c r="A78" t="s">
        <v>262</v>
      </c>
    </row>
    <row r="79" spans="1:1" x14ac:dyDescent="0.25">
      <c r="A79" t="s">
        <v>263</v>
      </c>
    </row>
    <row r="80" spans="1:1" x14ac:dyDescent="0.25">
      <c r="A80" t="s">
        <v>264</v>
      </c>
    </row>
    <row r="81" spans="1:1" x14ac:dyDescent="0.25">
      <c r="A81" t="s">
        <v>120</v>
      </c>
    </row>
    <row r="82" spans="1:1" x14ac:dyDescent="0.25">
      <c r="A82" t="s">
        <v>196</v>
      </c>
    </row>
    <row r="83" spans="1:1" x14ac:dyDescent="0.25">
      <c r="A83" t="s">
        <v>265</v>
      </c>
    </row>
    <row r="84" spans="1:1" x14ac:dyDescent="0.25">
      <c r="A84" t="s">
        <v>266</v>
      </c>
    </row>
    <row r="85" spans="1:1" x14ac:dyDescent="0.25">
      <c r="A85" t="s">
        <v>267</v>
      </c>
    </row>
    <row r="86" spans="1:1" x14ac:dyDescent="0.25">
      <c r="A86" t="s">
        <v>151</v>
      </c>
    </row>
    <row r="87" spans="1:1" x14ac:dyDescent="0.25">
      <c r="A87" t="s">
        <v>268</v>
      </c>
    </row>
    <row r="88" spans="1:1" x14ac:dyDescent="0.25">
      <c r="A88" t="s">
        <v>269</v>
      </c>
    </row>
    <row r="89" spans="1:1" x14ac:dyDescent="0.25">
      <c r="A89" t="s">
        <v>192</v>
      </c>
    </row>
    <row r="90" spans="1:1" x14ac:dyDescent="0.25">
      <c r="A90" t="s">
        <v>206</v>
      </c>
    </row>
    <row r="91" spans="1:1" x14ac:dyDescent="0.25">
      <c r="A91" t="s">
        <v>270</v>
      </c>
    </row>
    <row r="92" spans="1:1" x14ac:dyDescent="0.25">
      <c r="A92" t="s">
        <v>271</v>
      </c>
    </row>
    <row r="93" spans="1:1" x14ac:dyDescent="0.25">
      <c r="A93" t="s">
        <v>199</v>
      </c>
    </row>
    <row r="94" spans="1:1" x14ac:dyDescent="0.25">
      <c r="A94" t="s">
        <v>272</v>
      </c>
    </row>
    <row r="95" spans="1:1" x14ac:dyDescent="0.25">
      <c r="A95" t="s">
        <v>273</v>
      </c>
    </row>
    <row r="96" spans="1:1" x14ac:dyDescent="0.25">
      <c r="A96" t="s">
        <v>274</v>
      </c>
    </row>
    <row r="97" spans="1:1" x14ac:dyDescent="0.25">
      <c r="A97" t="s">
        <v>111</v>
      </c>
    </row>
    <row r="98" spans="1:1" x14ac:dyDescent="0.25">
      <c r="A98" t="s">
        <v>275</v>
      </c>
    </row>
    <row r="99" spans="1:1" x14ac:dyDescent="0.25">
      <c r="A99" t="s">
        <v>207</v>
      </c>
    </row>
    <row r="100" spans="1:1" x14ac:dyDescent="0.25">
      <c r="A100" t="s">
        <v>276</v>
      </c>
    </row>
    <row r="101" spans="1:1" x14ac:dyDescent="0.25">
      <c r="A101" t="s">
        <v>277</v>
      </c>
    </row>
    <row r="102" spans="1:1" x14ac:dyDescent="0.25">
      <c r="A102" t="s">
        <v>278</v>
      </c>
    </row>
    <row r="103" spans="1:1" x14ac:dyDescent="0.25">
      <c r="A103" t="s">
        <v>279</v>
      </c>
    </row>
    <row r="104" spans="1:1" x14ac:dyDescent="0.25">
      <c r="A104" t="s">
        <v>280</v>
      </c>
    </row>
    <row r="105" spans="1:1" x14ac:dyDescent="0.25">
      <c r="A105" t="s">
        <v>281</v>
      </c>
    </row>
    <row r="106" spans="1:1" x14ac:dyDescent="0.25">
      <c r="A106" t="s">
        <v>282</v>
      </c>
    </row>
    <row r="107" spans="1:1" x14ac:dyDescent="0.25">
      <c r="A107" t="s">
        <v>283</v>
      </c>
    </row>
    <row r="108" spans="1:1" x14ac:dyDescent="0.25">
      <c r="A108" t="s">
        <v>179</v>
      </c>
    </row>
    <row r="109" spans="1:1" x14ac:dyDescent="0.25">
      <c r="A109" t="s">
        <v>284</v>
      </c>
    </row>
    <row r="110" spans="1:1" x14ac:dyDescent="0.25">
      <c r="A110" t="s">
        <v>285</v>
      </c>
    </row>
    <row r="111" spans="1:1" x14ac:dyDescent="0.25">
      <c r="A111" t="s">
        <v>286</v>
      </c>
    </row>
    <row r="112" spans="1:1" x14ac:dyDescent="0.25">
      <c r="A112" t="s">
        <v>287</v>
      </c>
    </row>
    <row r="113" spans="1:1" x14ac:dyDescent="0.25">
      <c r="A113" t="s">
        <v>288</v>
      </c>
    </row>
    <row r="114" spans="1:1" x14ac:dyDescent="0.25">
      <c r="A114" t="s">
        <v>289</v>
      </c>
    </row>
    <row r="115" spans="1:1" x14ac:dyDescent="0.25">
      <c r="A115" t="s">
        <v>290</v>
      </c>
    </row>
    <row r="116" spans="1:1" x14ac:dyDescent="0.25">
      <c r="A116" t="s">
        <v>291</v>
      </c>
    </row>
    <row r="117" spans="1:1" x14ac:dyDescent="0.25">
      <c r="A117" t="s">
        <v>292</v>
      </c>
    </row>
    <row r="118" spans="1:1" x14ac:dyDescent="0.25">
      <c r="A118" t="s">
        <v>293</v>
      </c>
    </row>
    <row r="119" spans="1:1" x14ac:dyDescent="0.25">
      <c r="A119" t="s">
        <v>294</v>
      </c>
    </row>
    <row r="120" spans="1:1" x14ac:dyDescent="0.25">
      <c r="A120" t="s">
        <v>295</v>
      </c>
    </row>
    <row r="121" spans="1:1" x14ac:dyDescent="0.25">
      <c r="A121" t="s">
        <v>296</v>
      </c>
    </row>
    <row r="122" spans="1:1" x14ac:dyDescent="0.25">
      <c r="A122" t="s">
        <v>297</v>
      </c>
    </row>
    <row r="123" spans="1:1" x14ac:dyDescent="0.25">
      <c r="A123" t="s">
        <v>298</v>
      </c>
    </row>
    <row r="124" spans="1:1" x14ac:dyDescent="0.25">
      <c r="A124" t="s">
        <v>142</v>
      </c>
    </row>
    <row r="125" spans="1:1" x14ac:dyDescent="0.25">
      <c r="A125" t="s">
        <v>127</v>
      </c>
    </row>
    <row r="126" spans="1:1" x14ac:dyDescent="0.25">
      <c r="A126" t="s">
        <v>299</v>
      </c>
    </row>
    <row r="127" spans="1:1" x14ac:dyDescent="0.25">
      <c r="A127" t="s">
        <v>300</v>
      </c>
    </row>
    <row r="128" spans="1:1" x14ac:dyDescent="0.25">
      <c r="A128" t="s">
        <v>301</v>
      </c>
    </row>
    <row r="129" spans="1:1" x14ac:dyDescent="0.25">
      <c r="A129" t="s">
        <v>302</v>
      </c>
    </row>
    <row r="130" spans="1:1" x14ac:dyDescent="0.25">
      <c r="A130" t="s">
        <v>303</v>
      </c>
    </row>
    <row r="131" spans="1:1" x14ac:dyDescent="0.25">
      <c r="A131" t="s">
        <v>304</v>
      </c>
    </row>
    <row r="132" spans="1:1" x14ac:dyDescent="0.25">
      <c r="A132" t="s">
        <v>305</v>
      </c>
    </row>
    <row r="133" spans="1:1" x14ac:dyDescent="0.25">
      <c r="A133" t="s">
        <v>306</v>
      </c>
    </row>
    <row r="134" spans="1:1" x14ac:dyDescent="0.25">
      <c r="A134" t="s">
        <v>307</v>
      </c>
    </row>
    <row r="135" spans="1:1" x14ac:dyDescent="0.25">
      <c r="A135" t="s">
        <v>56</v>
      </c>
    </row>
    <row r="136" spans="1:1" x14ac:dyDescent="0.25">
      <c r="A136" t="s">
        <v>308</v>
      </c>
    </row>
    <row r="137" spans="1:1" x14ac:dyDescent="0.25">
      <c r="A137" t="s">
        <v>309</v>
      </c>
    </row>
    <row r="138" spans="1:1" x14ac:dyDescent="0.25">
      <c r="A138" t="s">
        <v>310</v>
      </c>
    </row>
    <row r="139" spans="1:1" x14ac:dyDescent="0.25">
      <c r="A139" t="s">
        <v>311</v>
      </c>
    </row>
    <row r="140" spans="1:1" x14ac:dyDescent="0.25">
      <c r="A140" t="s">
        <v>312</v>
      </c>
    </row>
    <row r="141" spans="1:1" x14ac:dyDescent="0.25">
      <c r="A141" t="s">
        <v>313</v>
      </c>
    </row>
    <row r="142" spans="1:1" x14ac:dyDescent="0.25">
      <c r="A142" t="s">
        <v>36</v>
      </c>
    </row>
    <row r="143" spans="1:1" x14ac:dyDescent="0.25">
      <c r="A143" t="s">
        <v>314</v>
      </c>
    </row>
    <row r="144" spans="1:1" x14ac:dyDescent="0.25">
      <c r="A144" t="s">
        <v>315</v>
      </c>
    </row>
    <row r="145" spans="1:1" x14ac:dyDescent="0.25">
      <c r="A145" t="s">
        <v>145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0.20610000000000001</v>
      </c>
      <c r="D69">
        <f>RTD("tos.rtd", , "MARK_CHANGE", "ZSPC")</f>
        <v>0</v>
      </c>
      <c r="E69" t="str">
        <f>RTD("tos.rtd", , "MARK_PERCENT_CHANGE", "ZSPC")</f>
        <v>0.00%</v>
      </c>
      <c r="F69" t="str">
        <f>RTD("tos.rtd", , "VOLUME", "ZSPC")</f>
        <v>N/A</v>
      </c>
      <c r="G69">
        <f>RTD("tos.rtd", , "BID", "ZSPC")</f>
        <v>0.18129999999999999</v>
      </c>
      <c r="H69">
        <f>RTD("tos.rtd", , "ASK", "ZSPC")</f>
        <v>0.25</v>
      </c>
      <c r="I69" t="str">
        <f>RTD("tos.rtd", , "MARKET_CAP", "ZSPC")</f>
        <v>0.99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7.55</v>
      </c>
      <c r="D70">
        <f>RTD("tos.rtd", , "MARK_CHANGE", "AGPU")</f>
        <v>-0.03</v>
      </c>
      <c r="E70" t="str">
        <f>RTD("tos.rtd", , "MARK_PERCENT_CHANGE", "AGPU")</f>
        <v>-0.40%</v>
      </c>
      <c r="F70">
        <f>RTD("tos.rtd", , "VOLUME", "AGPU")</f>
        <v>106</v>
      </c>
      <c r="G70">
        <f>RTD("tos.rtd", , "BID", "AGPU")</f>
        <v>7.35</v>
      </c>
      <c r="H70">
        <f>RTD("tos.rtd", , "ASK", "AGPU")</f>
        <v>7.55</v>
      </c>
      <c r="I70" t="str">
        <f>RTD("tos.rtd", , "MARKET_CAP", "AGPU")</f>
        <v>82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0.4476</v>
      </c>
      <c r="D71">
        <f>RTD("tos.rtd", , "MARK_CHANGE", "BIYA")</f>
        <v>-0.1114</v>
      </c>
      <c r="E71" t="str">
        <f>RTD("tos.rtd", , "MARK_PERCENT_CHANGE", "BIYA")</f>
        <v>-19.93%</v>
      </c>
      <c r="F71">
        <f>RTD("tos.rtd", , "VOLUME", "BIYA")</f>
        <v>1868866</v>
      </c>
      <c r="G71">
        <f>RTD("tos.rtd", , "BID", "BIYA")</f>
        <v>0.441</v>
      </c>
      <c r="H71">
        <f>RTD("tos.rtd", , "ASK", "BIYA")</f>
        <v>0.4476</v>
      </c>
      <c r="I71" t="str">
        <f>RTD("tos.rtd", , "MARKET_CAP", "BIYA")</f>
        <v>2.3 M</v>
      </c>
      <c r="J71" t="str">
        <f>RTD("tos.rtd", , "CUSTOM3", "BIYA")</f>
        <v>loading</v>
      </c>
      <c r="K71">
        <f>RTD("tos.rtd", , "CUSTOM2", "BIYA")</f>
        <v>55.915599999999998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2.5152000000000001</v>
      </c>
      <c r="D72">
        <f>RTD("tos.rtd", , "MARK_CHANGE", "RETO")</f>
        <v>0</v>
      </c>
      <c r="E72" t="str">
        <f>RTD("tos.rtd", , "MARK_PERCENT_CHANGE", "RETO")</f>
        <v>0.00%</v>
      </c>
      <c r="F72" t="str">
        <f>RTD("tos.rtd", , "VOLUME", "RETO")</f>
        <v>N/A</v>
      </c>
      <c r="G72">
        <f>RTD("tos.rtd", , "BID", "RETO")</f>
        <v>2.33</v>
      </c>
      <c r="H72">
        <f>RTD("tos.rtd", , "ASK", "RETO")</f>
        <v>2.7</v>
      </c>
      <c r="I72" t="str">
        <f>RTD("tos.rtd", , "MARKET_CAP", "RETO")</f>
        <v>21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0.98499999999999999</v>
      </c>
      <c r="D73">
        <f>RTD("tos.rtd", , "MARK_CHANGE", "ELPW")</f>
        <v>0</v>
      </c>
      <c r="E73" t="str">
        <f>RTD("tos.rtd", , "MARK_PERCENT_CHANGE", "ELPW")</f>
        <v>0.00%</v>
      </c>
      <c r="F73">
        <f>RTD("tos.rtd", , "VOLUME", "ELPW")</f>
        <v>9708</v>
      </c>
      <c r="G73">
        <f>RTD("tos.rtd", , "BID", "ELPW")</f>
        <v>0.96</v>
      </c>
      <c r="H73">
        <f>RTD("tos.rtd", , "ASK", "ELPW")</f>
        <v>0.98950000000000005</v>
      </c>
      <c r="I73" t="str">
        <f>RTD("tos.rtd", , "MARKET_CAP", "ELPW")</f>
        <v>3.1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0.67</v>
      </c>
      <c r="D74">
        <f>RTD("tos.rtd", , "MARK_CHANGE", "KIDZ")</f>
        <v>-8.0000000000000002E-3</v>
      </c>
      <c r="E74" t="str">
        <f>RTD("tos.rtd", , "MARK_PERCENT_CHANGE", "KIDZ")</f>
        <v>-1.18%</v>
      </c>
      <c r="F74">
        <f>RTD("tos.rtd", , "VOLUME", "KIDZ")</f>
        <v>2093</v>
      </c>
      <c r="G74">
        <f>RTD("tos.rtd", , "BID", "KIDZ")</f>
        <v>0.64559999999999995</v>
      </c>
      <c r="H74">
        <f>RTD("tos.rtd", , "ASK", "KIDZ")</f>
        <v>0.67</v>
      </c>
      <c r="I74" t="str">
        <f>RTD("tos.rtd", , "MARKET_CAP", "KIDZ")</f>
        <v>0.54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0.63980000000000004</v>
      </c>
      <c r="D75">
        <f>RTD("tos.rtd", , "MARK_CHANGE", "LOBO")</f>
        <v>0</v>
      </c>
      <c r="E75" t="str">
        <f>RTD("tos.rtd", , "MARK_PERCENT_CHANGE", "LOBO")</f>
        <v>0.00%</v>
      </c>
      <c r="F75">
        <f>RTD("tos.rtd", , "VOLUME", "LOBO")</f>
        <v>631</v>
      </c>
      <c r="G75">
        <f>RTD("tos.rtd", , "BID", "LOBO")</f>
        <v>0.62060000000000004</v>
      </c>
      <c r="H75">
        <f>RTD("tos.rtd", , "ASK", "LOBO")</f>
        <v>0.63980000000000004</v>
      </c>
      <c r="I75" t="str">
        <f>RTD("tos.rtd", , "MARKET_CAP", "LOBO")</f>
        <v>8.9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1.97</v>
      </c>
      <c r="D76">
        <f>RTD("tos.rtd", , "MARK_CHANGE", "RPGL")</f>
        <v>0</v>
      </c>
      <c r="E76" t="str">
        <f>RTD("tos.rtd", , "MARK_PERCENT_CHANGE", "RPGL")</f>
        <v>0.00%</v>
      </c>
      <c r="F76">
        <f>RTD("tos.rtd", , "VOLUME", "RPGL")</f>
        <v>116</v>
      </c>
      <c r="G76">
        <f>RTD("tos.rtd", , "BID", "RPGL")</f>
        <v>1.91</v>
      </c>
      <c r="H76">
        <f>RTD("tos.rtd", , "ASK", "RPGL")</f>
        <v>2.09</v>
      </c>
      <c r="I76" t="str">
        <f>RTD("tos.rtd", , "MARKET_CAP", "RPGL")</f>
        <v>2.2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2.2000000000000002</v>
      </c>
      <c r="D77">
        <f>RTD("tos.rtd", , "MARK_CHANGE", "CMND")</f>
        <v>0</v>
      </c>
      <c r="E77" t="str">
        <f>RTD("tos.rtd", , "MARK_PERCENT_CHANGE", "CMND")</f>
        <v>0.00%</v>
      </c>
      <c r="F77">
        <f>RTD("tos.rtd", , "VOLUME", "CMND")</f>
        <v>20781</v>
      </c>
      <c r="G77">
        <f>RTD("tos.rtd", , "BID", "CMND")</f>
        <v>2.17</v>
      </c>
      <c r="H77">
        <f>RTD("tos.rtd", , "ASK", "CMND")</f>
        <v>2.21</v>
      </c>
      <c r="I77" t="str">
        <f>RTD("tos.rtd", , "MARKET_CAP", "CMND")</f>
        <v>3.3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8.2799999999999994</v>
      </c>
      <c r="D78">
        <f>RTD("tos.rtd", , "MARK_CHANGE", "NMAX")</f>
        <v>0</v>
      </c>
      <c r="E78" t="str">
        <f>RTD("tos.rtd", , "MARK_PERCENT_CHANGE", "NMAX")</f>
        <v>0.00%</v>
      </c>
      <c r="F78">
        <f>RTD("tos.rtd", , "VOLUME", "NMAX")</f>
        <v>1353</v>
      </c>
      <c r="G78">
        <f>RTD("tos.rtd", , "BID", "NMAX")</f>
        <v>7.9</v>
      </c>
      <c r="H78">
        <f>RTD("tos.rtd", , "ASK", "NMAX")</f>
        <v>8.75</v>
      </c>
      <c r="I78" t="str">
        <f>RTD("tos.rtd", , "MARKET_CAP", "NMAX")</f>
        <v>1,069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3.06</v>
      </c>
      <c r="D79">
        <f>RTD("tos.rtd", , "MARK_CHANGE", "PBM")</f>
        <v>0</v>
      </c>
      <c r="E79" t="str">
        <f>RTD("tos.rtd", , "MARK_PERCENT_CHANGE", "PBM")</f>
        <v>0.00%</v>
      </c>
      <c r="F79">
        <f>RTD("tos.rtd", , "VOLUME", "PBM")</f>
        <v>895</v>
      </c>
      <c r="G79">
        <f>RTD("tos.rtd", , "BID", "PBM")</f>
        <v>3</v>
      </c>
      <c r="H79">
        <f>RTD("tos.rtd", , "ASK", "PBM")</f>
        <v>3.15</v>
      </c>
      <c r="I79" t="str">
        <f>RTD("tos.rtd", , "MARKET_CAP", "PBM")</f>
        <v>12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0.39200000000000002</v>
      </c>
      <c r="D80">
        <f>RTD("tos.rtd", , "MARK_CHANGE", "GAME")</f>
        <v>-3.0000000000000001E-3</v>
      </c>
      <c r="E80" t="str">
        <f>RTD("tos.rtd", , "MARK_PERCENT_CHANGE", "GAME")</f>
        <v>-0.76%</v>
      </c>
      <c r="F80">
        <f>RTD("tos.rtd", , "VOLUME", "GAME")</f>
        <v>1575</v>
      </c>
      <c r="G80">
        <f>RTD("tos.rtd", , "BID", "GAME")</f>
        <v>0.38159999999999999</v>
      </c>
      <c r="H80">
        <f>RTD("tos.rtd", , "ASK", "GAME")</f>
        <v>0.39200000000000002</v>
      </c>
      <c r="I80" t="str">
        <f>RTD("tos.rtd", , "MARKET_CAP", "GAME")</f>
        <v>40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0.45889999999999997</v>
      </c>
      <c r="D81">
        <f>RTD("tos.rtd", , "MARK_CHANGE", "SLAI")</f>
        <v>0</v>
      </c>
      <c r="E81" t="str">
        <f>RTD("tos.rtd", , "MARK_PERCENT_CHANGE", "SLAI")</f>
        <v>0.00%</v>
      </c>
      <c r="F81">
        <f>RTD("tos.rtd", , "VOLUME", "SLAI")</f>
        <v>302</v>
      </c>
      <c r="G81">
        <f>RTD("tos.rtd", , "BID", "SLAI")</f>
        <v>0.43</v>
      </c>
      <c r="H81">
        <f>RTD("tos.rtd", , "ASK", "SLAI")</f>
        <v>0.5</v>
      </c>
      <c r="I81" t="str">
        <f>RTD("tos.rtd", , "MARKET_CAP", "SLAI")</f>
        <v>14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0.42580000000000001</v>
      </c>
      <c r="D82">
        <f>RTD("tos.rtd", , "MARK_CHANGE", "GSUN")</f>
        <v>9.1800000000000007E-2</v>
      </c>
      <c r="E82" t="str">
        <f>RTD("tos.rtd", , "MARK_PERCENT_CHANGE", "GSUN")</f>
        <v>+27.49%</v>
      </c>
      <c r="F82">
        <f>RTD("tos.rtd", , "VOLUME", "GSUN")</f>
        <v>9861912</v>
      </c>
      <c r="G82">
        <f>RTD("tos.rtd", , "BID", "GSUN")</f>
        <v>0.42580000000000001</v>
      </c>
      <c r="H82">
        <f>RTD("tos.rtd", , "ASK", "GSUN")</f>
        <v>0.43</v>
      </c>
      <c r="I82" t="str">
        <f>RTD("tos.rtd", , "MARKET_CAP", "GSUN")</f>
        <v>3.3 M</v>
      </c>
      <c r="J82" t="str">
        <f>RTD("tos.rtd", , "CUSTOM3", "GSUN")</f>
        <v>loading</v>
      </c>
      <c r="K82" t="str">
        <f>RTD("tos.rtd", , "CUSTOM2", "GSUN")</f>
        <v>loading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3.15</v>
      </c>
      <c r="D83">
        <f>RTD("tos.rtd", , "MARK_CHANGE", "LAES")</f>
        <v>0</v>
      </c>
      <c r="E83" t="str">
        <f>RTD("tos.rtd", , "MARK_PERCENT_CHANGE", "LAES")</f>
        <v>0.00%</v>
      </c>
      <c r="F83">
        <f>RTD("tos.rtd", , "VOLUME", "LAES")</f>
        <v>83533</v>
      </c>
      <c r="G83">
        <f>RTD("tos.rtd", , "BID", "LAES")</f>
        <v>3.15</v>
      </c>
      <c r="H83">
        <f>RTD("tos.rtd", , "ASK", "LAES")</f>
        <v>3.17</v>
      </c>
      <c r="I83" t="str">
        <f>RTD("tos.rtd", , "MARKET_CAP", "LAES")</f>
        <v>702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3.67</v>
      </c>
      <c r="D84">
        <f>RTD("tos.rtd", , "MARK_CHANGE", "BBAI")</f>
        <v>0</v>
      </c>
      <c r="E84" t="str">
        <f>RTD("tos.rtd", , "MARK_PERCENT_CHANGE", "BBAI")</f>
        <v>0.00%</v>
      </c>
      <c r="F84">
        <f>RTD("tos.rtd", , "VOLUME", "BBAI")</f>
        <v>55140</v>
      </c>
      <c r="G84">
        <f>RTD("tos.rtd", , "BID", "BBAI")</f>
        <v>3.67</v>
      </c>
      <c r="H84">
        <f>RTD("tos.rtd", , "ASK", "BBAI")</f>
        <v>3.68</v>
      </c>
      <c r="I84" t="str">
        <f>RTD("tos.rtd", , "MARKET_CAP", "BBAI")</f>
        <v>1,758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2.9</v>
      </c>
      <c r="D85">
        <f>RTD("tos.rtd", , "MARK_CHANGE", "ANNA")</f>
        <v>0</v>
      </c>
      <c r="E85" t="str">
        <f>RTD("tos.rtd", , "MARK_PERCENT_CHANGE", "ANNA")</f>
        <v>0.00%</v>
      </c>
      <c r="F85">
        <f>RTD("tos.rtd", , "VOLUME", "ANNA")</f>
        <v>313</v>
      </c>
      <c r="G85">
        <f>RTD("tos.rtd", , "BID", "ANNA")</f>
        <v>2.65</v>
      </c>
      <c r="H85">
        <f>RTD("tos.rtd", , "ASK", "ANNA")</f>
        <v>2.97</v>
      </c>
      <c r="I85" t="str">
        <f>RTD("tos.rtd", , "MARKET_CAP", "ANNA")</f>
        <v>119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5.79</v>
      </c>
      <c r="D86">
        <f>RTD("tos.rtd", , "MARK_CHANGE", "SATL")</f>
        <v>7.0000000000000007E-2</v>
      </c>
      <c r="E86" t="str">
        <f>RTD("tos.rtd", , "MARK_PERCENT_CHANGE", "SATL")</f>
        <v>+1.22%</v>
      </c>
      <c r="F86">
        <f>RTD("tos.rtd", , "VOLUME", "SATL")</f>
        <v>37630</v>
      </c>
      <c r="G86">
        <f>RTD("tos.rtd", , "BID", "SATL")</f>
        <v>5.79</v>
      </c>
      <c r="H86">
        <f>RTD("tos.rtd", , "ASK", "SATL")</f>
        <v>5.81</v>
      </c>
      <c r="I86" t="str">
        <f>RTD("tos.rtd", , "MARKET_CAP", "SATL")</f>
        <v>848 M</v>
      </c>
      <c r="J86" t="str">
        <f>RTD("tos.rtd", , "CUSTOM3", "SATL")</f>
        <v>loading</v>
      </c>
      <c r="K86" t="str">
        <f>RTD("tos.rtd", , "CUSTOM2", "SATL")</f>
        <v>loading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8.76</v>
      </c>
      <c r="D87">
        <f>RTD("tos.rtd", , "MARK_CHANGE", "IBRX")</f>
        <v>5.0000000000000001E-3</v>
      </c>
      <c r="E87" t="str">
        <f>RTD("tos.rtd", , "MARK_PERCENT_CHANGE", "IBRX")</f>
        <v>+0.06%</v>
      </c>
      <c r="F87">
        <f>RTD("tos.rtd", , "VOLUME", "IBRX")</f>
        <v>5704</v>
      </c>
      <c r="G87">
        <f>RTD("tos.rtd", , "BID", "IBRX")</f>
        <v>8.76</v>
      </c>
      <c r="H87">
        <f>RTD("tos.rtd", , "ASK", "IBRX")</f>
        <v>8.77</v>
      </c>
      <c r="I87" t="str">
        <f>RTD("tos.rtd", , "MARKET_CAP", "IBRX")</f>
        <v>9,170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1.35</v>
      </c>
      <c r="D88">
        <f>RTD("tos.rtd", , "MARK_CHANGE", "SLNH")</f>
        <v>0</v>
      </c>
      <c r="E88" t="str">
        <f>RTD("tos.rtd", , "MARK_PERCENT_CHANGE", "SLNH")</f>
        <v>0.00%</v>
      </c>
      <c r="F88">
        <f>RTD("tos.rtd", , "VOLUME", "SLNH")</f>
        <v>54174</v>
      </c>
      <c r="G88">
        <f>RTD("tos.rtd", , "BID", "SLNH")</f>
        <v>1.34</v>
      </c>
      <c r="H88">
        <f>RTD("tos.rtd", , "ASK", "SLNH")</f>
        <v>1.35</v>
      </c>
      <c r="I88" t="str">
        <f>RTD("tos.rtd", , "MARKET_CAP", "SLNH")</f>
        <v>213 M</v>
      </c>
      <c r="J88" t="str">
        <f>RTD("tos.rtd", , "CUSTOM3", "SLNH")</f>
        <v>loading</v>
      </c>
      <c r="K88">
        <f>RTD("tos.rtd", , "CUSTOM2", "SLNH")</f>
        <v>34.61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6.52</v>
      </c>
      <c r="D89">
        <f>RTD("tos.rtd", , "MARK_CHANGE", "BULL")</f>
        <v>0</v>
      </c>
      <c r="E89" t="str">
        <f>RTD("tos.rtd", , "MARK_PERCENT_CHANGE", "BULL")</f>
        <v>0.00%</v>
      </c>
      <c r="F89">
        <f>RTD("tos.rtd", , "VOLUME", "BULL")</f>
        <v>15727</v>
      </c>
      <c r="G89">
        <f>RTD("tos.rtd", , "BID", "BULL")</f>
        <v>6.5</v>
      </c>
      <c r="H89">
        <f>RTD("tos.rtd", , "ASK", "BULL")</f>
        <v>6.54</v>
      </c>
      <c r="I89" t="str">
        <f>RTD("tos.rtd", , "MARKET_CAP", "BULL")</f>
        <v>3,467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3.89</v>
      </c>
      <c r="D90">
        <f>RTD("tos.rtd", , "MARK_CHANGE", "LAC")</f>
        <v>0.04</v>
      </c>
      <c r="E90" t="str">
        <f>RTD("tos.rtd", , "MARK_PERCENT_CHANGE", "LAC")</f>
        <v>+1.04%</v>
      </c>
      <c r="F90">
        <f>RTD("tos.rtd", , "VOLUME", "LAC")</f>
        <v>80908</v>
      </c>
      <c r="G90">
        <f>RTD("tos.rtd", , "BID", "LAC")</f>
        <v>3.89</v>
      </c>
      <c r="H90">
        <f>RTD("tos.rtd", , "ASK", "LAC")</f>
        <v>3.9</v>
      </c>
      <c r="I90" t="str">
        <f>RTD("tos.rtd", , "MARKET_CAP", "LAC")</f>
        <v>1,352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1.04</v>
      </c>
      <c r="D91">
        <f>RTD("tos.rtd", , "MARK_CHANGE", "JZXN")</f>
        <v>0</v>
      </c>
      <c r="E91" t="str">
        <f>RTD("tos.rtd", , "MARK_PERCENT_CHANGE", "JZXN")</f>
        <v>0.00%</v>
      </c>
      <c r="F91">
        <f>RTD("tos.rtd", , "VOLUME", "JZXN")</f>
        <v>145064</v>
      </c>
      <c r="G91">
        <f>RTD("tos.rtd", , "BID", "JZXN")</f>
        <v>1.04</v>
      </c>
      <c r="H91">
        <f>RTD("tos.rtd", , "ASK", "JZXN")</f>
        <v>1.06</v>
      </c>
      <c r="I91" t="str">
        <f>RTD("tos.rtd", , "MARKET_CAP", "JZXN")</f>
        <v>1.4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0.70309999999999995</v>
      </c>
      <c r="D92">
        <f>RTD("tos.rtd", , "MARK_CHANGE", "ORBS")</f>
        <v>7.6E-3</v>
      </c>
      <c r="E92" t="str">
        <f>RTD("tos.rtd", , "MARK_PERCENT_CHANGE", "ORBS")</f>
        <v>+1.09%</v>
      </c>
      <c r="F92">
        <f>RTD("tos.rtd", , "VOLUME", "ORBS")</f>
        <v>29222</v>
      </c>
      <c r="G92">
        <f>RTD("tos.rtd", , "BID", "ORBS")</f>
        <v>0.70309999999999995</v>
      </c>
      <c r="H92">
        <f>RTD("tos.rtd", , "ASK", "ORBS")</f>
        <v>0.70550000000000002</v>
      </c>
      <c r="I92" t="str">
        <f>RTD("tos.rtd", , "MARKET_CAP", "ORBS")</f>
        <v>270 M</v>
      </c>
      <c r="J92" t="str">
        <f>RTD("tos.rtd", , "CUSTOM3", "ORBS")</f>
        <v>loading</v>
      </c>
      <c r="K92" t="str">
        <f>RTD("tos.rtd", , "CUSTOM2", "ORBS")</f>
        <v>loading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6.38</v>
      </c>
      <c r="D93">
        <f>RTD("tos.rtd", , "MARK_CHANGE", "NUAI")</f>
        <v>0</v>
      </c>
      <c r="E93" t="str">
        <f>RTD("tos.rtd", , "MARK_PERCENT_CHANGE", "NUAI")</f>
        <v>0.00%</v>
      </c>
      <c r="F93">
        <f>RTD("tos.rtd", , "VOLUME", "NUAI")</f>
        <v>22377</v>
      </c>
      <c r="G93">
        <f>RTD("tos.rtd", , "BID", "NUAI")</f>
        <v>6.32</v>
      </c>
      <c r="H93">
        <f>RTD("tos.rtd", , "ASK", "NUAI")</f>
        <v>6.43</v>
      </c>
      <c r="I93" t="str">
        <f>RTD("tos.rtd", , "MARKET_CAP", "NUAI")</f>
        <v>646 M</v>
      </c>
      <c r="J93" t="str">
        <f>RTD("tos.rtd", , "CUSTOM3", "NUAI")</f>
        <v>loading</v>
      </c>
      <c r="K93" t="str">
        <f>RTD("tos.rtd", , "CUSTOM2", "NUAI")</f>
        <v>loading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9.49</v>
      </c>
      <c r="D94">
        <f>RTD("tos.rtd", , "MARK_CHANGE", "TE")</f>
        <v>0.01</v>
      </c>
      <c r="E94" t="str">
        <f>RTD("tos.rtd", , "MARK_PERCENT_CHANGE", "TE")</f>
        <v>+0.11%</v>
      </c>
      <c r="F94">
        <f>RTD("tos.rtd", , "VOLUME", "TE")</f>
        <v>99224</v>
      </c>
      <c r="G94">
        <f>RTD("tos.rtd", , "BID", "TE")</f>
        <v>9.49</v>
      </c>
      <c r="H94">
        <f>RTD("tos.rtd", , "ASK", "TE")</f>
        <v>9.58</v>
      </c>
      <c r="I94" t="str">
        <f>RTD("tos.rtd", , "MARKET_CAP", "TE")</f>
        <v>2,647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1.1599999999999999</v>
      </c>
      <c r="D95">
        <f>RTD("tos.rtd", , "MARK_CHANGE", "SRFM")</f>
        <v>0</v>
      </c>
      <c r="E95" t="str">
        <f>RTD("tos.rtd", , "MARK_PERCENT_CHANGE", "SRFM")</f>
        <v>0.00%</v>
      </c>
      <c r="F95">
        <f>RTD("tos.rtd", , "VOLUME", "SRFM")</f>
        <v>320904</v>
      </c>
      <c r="G95">
        <f>RTD("tos.rtd", , "BID", "SRFM")</f>
        <v>1.1499999999999999</v>
      </c>
      <c r="H95">
        <f>RTD("tos.rtd", , "ASK", "SRFM")</f>
        <v>1.1599999999999999</v>
      </c>
      <c r="I95" t="str">
        <f>RTD("tos.rtd", , "MARKET_CAP", "SRFM")</f>
        <v>129 M</v>
      </c>
      <c r="J95" t="str">
        <f>RTD("tos.rtd", , "CUSTOM3", "SRFM")</f>
        <v>loading</v>
      </c>
      <c r="K95" t="str">
        <f>RTD("tos.rtd", , "CUSTOM2", "SRFM")</f>
        <v>loading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0.89129999999999998</v>
      </c>
      <c r="D96">
        <f>RTD("tos.rtd", , "MARK_CHANGE", "UAVS")</f>
        <v>0</v>
      </c>
      <c r="E96" t="str">
        <f>RTD("tos.rtd", , "MARK_PERCENT_CHANGE", "UAVS")</f>
        <v>0.00%</v>
      </c>
      <c r="F96">
        <f>RTD("tos.rtd", , "VOLUME", "UAVS")</f>
        <v>5637</v>
      </c>
      <c r="G96">
        <f>RTD("tos.rtd", , "BID", "UAVS")</f>
        <v>0.86</v>
      </c>
      <c r="H96">
        <f>RTD("tos.rtd", , "ASK", "UAVS")</f>
        <v>0.91</v>
      </c>
      <c r="I96" t="str">
        <f>RTD("tos.rtd", , "MARKET_CAP", "UAVS")</f>
        <v>52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0.82499999999999996</v>
      </c>
      <c r="D97">
        <f>RTD("tos.rtd", , "MARK_CHANGE", "TRX")</f>
        <v>0</v>
      </c>
      <c r="E97" t="str">
        <f>RTD("tos.rtd", , "MARK_PERCENT_CHANGE", "TRX")</f>
        <v>0.00%</v>
      </c>
      <c r="F97">
        <f>RTD("tos.rtd", , "VOLUME", "TRX")</f>
        <v>445</v>
      </c>
      <c r="G97">
        <f>RTD("tos.rtd", , "BID", "TRX")</f>
        <v>0.82</v>
      </c>
      <c r="H97">
        <f>RTD("tos.rtd", , "ASK", "TRX")</f>
        <v>0.83640000000000003</v>
      </c>
      <c r="I97" t="str">
        <f>RTD("tos.rtd", , "MARKET_CAP", "TRX")</f>
        <v>269 M</v>
      </c>
      <c r="J97" t="str">
        <f>RTD("tos.rtd", , "CUSTOM3", "TRX")</f>
        <v>loading</v>
      </c>
      <c r="K97" t="str">
        <f>RTD("tos.rtd", , "CUSTOM2", "TRX")</f>
        <v>loading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3.64</v>
      </c>
      <c r="D98">
        <f>RTD("tos.rtd", , "MARK_CHANGE", "HIVE")</f>
        <v>0</v>
      </c>
      <c r="E98" t="str">
        <f>RTD("tos.rtd", , "MARK_PERCENT_CHANGE", "HIVE")</f>
        <v>0.00%</v>
      </c>
      <c r="F98">
        <f>RTD("tos.rtd", , "VOLUME", "HIVE")</f>
        <v>31744</v>
      </c>
      <c r="G98">
        <f>RTD("tos.rtd", , "BID", "HIVE")</f>
        <v>3.63</v>
      </c>
      <c r="H98">
        <f>RTD("tos.rtd", , "ASK", "HIVE")</f>
        <v>3.64</v>
      </c>
      <c r="I98" t="str">
        <f>RTD("tos.rtd", , "MARKET_CAP", "HIVE")</f>
        <v>973 M</v>
      </c>
      <c r="J98" t="str">
        <f>RTD("tos.rtd", , "CUSTOM3", "HIVE")</f>
        <v>loading</v>
      </c>
      <c r="K98" t="str">
        <f>RTD("tos.rtd", , "CUSTOM2", "HIVE")</f>
        <v>loading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6.47</v>
      </c>
      <c r="D99">
        <f>RTD("tos.rtd", , "MARK_CHANGE", "SOUN")</f>
        <v>0</v>
      </c>
      <c r="E99" t="str">
        <f>RTD("tos.rtd", , "MARK_PERCENT_CHANGE", "SOUN")</f>
        <v>0.00%</v>
      </c>
      <c r="F99">
        <f>RTD("tos.rtd", , "VOLUME", "SOUN")</f>
        <v>58841</v>
      </c>
      <c r="G99">
        <f>RTD("tos.rtd", , "BID", "SOUN")</f>
        <v>6.47</v>
      </c>
      <c r="H99">
        <f>RTD("tos.rtd", , "ASK", "SOUN")</f>
        <v>6.48</v>
      </c>
      <c r="I99" t="str">
        <f>RTD("tos.rtd", , "MARKET_CAP", "SOUN")</f>
        <v>2,800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1.8</v>
      </c>
      <c r="D100">
        <f>RTD("tos.rtd", , "MARK_CHANGE", "BTBT")</f>
        <v>0</v>
      </c>
      <c r="E100" t="str">
        <f>RTD("tos.rtd", , "MARK_PERCENT_CHANGE", "BTBT")</f>
        <v>0.00%</v>
      </c>
      <c r="F100">
        <f>RTD("tos.rtd", , "VOLUME", "BTBT")</f>
        <v>9226</v>
      </c>
      <c r="G100">
        <f>RTD("tos.rtd", , "BID", "BTBT")</f>
        <v>1.79</v>
      </c>
      <c r="H100">
        <f>RTD("tos.rtd", , "ASK", "BTBT")</f>
        <v>1.81</v>
      </c>
      <c r="I100" t="str">
        <f>RTD("tos.rtd", , "MARKET_CAP", "BTBT")</f>
        <v>629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4.55</v>
      </c>
      <c r="D101">
        <f>RTD("tos.rtd", , "MARK_CHANGE", "OPEN")</f>
        <v>-7.0000000000000007E-2</v>
      </c>
      <c r="E101" t="str">
        <f>RTD("tos.rtd", , "MARK_PERCENT_CHANGE", "OPEN")</f>
        <v>-1.52%</v>
      </c>
      <c r="F101">
        <f>RTD("tos.rtd", , "VOLUME", "OPEN")</f>
        <v>68422</v>
      </c>
      <c r="G101">
        <f>RTD("tos.rtd", , "BID", "OPEN")</f>
        <v>4.54</v>
      </c>
      <c r="H101">
        <f>RTD("tos.rtd", , "ASK", "OPEN")</f>
        <v>4.55</v>
      </c>
      <c r="I101" t="str">
        <f>RTD("tos.rtd", , "MARKET_CAP", "OPEN")</f>
        <v>4,457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5.88</v>
      </c>
      <c r="D102">
        <f>RTD("tos.rtd", , "MARK_CHANGE", "EOSE")</f>
        <v>0</v>
      </c>
      <c r="E102" t="str">
        <f>RTD("tos.rtd", , "MARK_PERCENT_CHANGE", "EOSE")</f>
        <v>0.00%</v>
      </c>
      <c r="F102">
        <f>RTD("tos.rtd", , "VOLUME", "EOSE")</f>
        <v>87061</v>
      </c>
      <c r="G102">
        <f>RTD("tos.rtd", , "BID", "EOSE")</f>
        <v>5.86</v>
      </c>
      <c r="H102">
        <f>RTD("tos.rtd", , "ASK", "EOSE")</f>
        <v>5.9</v>
      </c>
      <c r="I102" t="str">
        <f>RTD("tos.rtd", , "MARKET_CAP", "EOSE")</f>
        <v>1,996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2.11</v>
      </c>
      <c r="D103">
        <f>RTD("tos.rtd", , "MARK_CHANGE", "RR")</f>
        <v>0</v>
      </c>
      <c r="E103" t="str">
        <f>RTD("tos.rtd", , "MARK_PERCENT_CHANGE", "RR")</f>
        <v>0.00%</v>
      </c>
      <c r="F103">
        <f>RTD("tos.rtd", , "VOLUME", "RR")</f>
        <v>29116</v>
      </c>
      <c r="G103">
        <f>RTD("tos.rtd", , "BID", "RR")</f>
        <v>2.1</v>
      </c>
      <c r="H103">
        <f>RTD("tos.rtd", , "ASK", "RR")</f>
        <v>2.12</v>
      </c>
      <c r="I103" t="str">
        <f>RTD("tos.rtd", , "MARKET_CAP", "RR")</f>
        <v>472 M</v>
      </c>
      <c r="J103" t="str">
        <f>RTD("tos.rtd", , "CUSTOM3", "RR")</f>
        <v>loading</v>
      </c>
      <c r="K103" t="str">
        <f>RTD("tos.rtd", , "CUSTOM2", "RR")</f>
        <v>loading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2.73</v>
      </c>
      <c r="D104">
        <f>RTD("tos.rtd", , "MARK_CHANGE", "PLUG")</f>
        <v>0.02</v>
      </c>
      <c r="E104" t="str">
        <f>RTD("tos.rtd", , "MARK_PERCENT_CHANGE", "PLUG")</f>
        <v>+0.74%</v>
      </c>
      <c r="F104">
        <f>RTD("tos.rtd", , "VOLUME", "PLUG")</f>
        <v>263329</v>
      </c>
      <c r="G104">
        <f>RTD("tos.rtd", , "BID", "PLUG")</f>
        <v>2.73</v>
      </c>
      <c r="H104">
        <f>RTD("tos.rtd", , "ASK", "PLUG")</f>
        <v>2.74</v>
      </c>
      <c r="I104" t="str">
        <f>RTD("tos.rtd", , "MARKET_CAP", "PLUG")</f>
        <v>3,781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8.9499999999999993</v>
      </c>
      <c r="D105">
        <f>RTD("tos.rtd", , "MARK_CHANGE", "JOBY")</f>
        <v>0.03</v>
      </c>
      <c r="E105" t="str">
        <f>RTD("tos.rtd", , "MARK_PERCENT_CHANGE", "JOBY")</f>
        <v>+0.34%</v>
      </c>
      <c r="F105">
        <f>RTD("tos.rtd", , "VOLUME", "JOBY")</f>
        <v>219290</v>
      </c>
      <c r="G105">
        <f>RTD("tos.rtd", , "BID", "JOBY")</f>
        <v>8.9499999999999993</v>
      </c>
      <c r="H105">
        <f>RTD("tos.rtd", , "ASK", "JOBY")</f>
        <v>8.9600000000000009</v>
      </c>
      <c r="I105" t="str">
        <f>RTD("tos.rtd", , "MARKET_CAP", "JOBY")</f>
        <v>8,774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0.68700000000000006</v>
      </c>
      <c r="D106">
        <f>RTD("tos.rtd", , "MARK_CHANGE", "ABTC")</f>
        <v>5.8999999999999999E-3</v>
      </c>
      <c r="E106" t="str">
        <f>RTD("tos.rtd", , "MARK_PERCENT_CHANGE", "ABTC")</f>
        <v>+0.87%</v>
      </c>
      <c r="F106">
        <f>RTD("tos.rtd", , "VOLUME", "ABTC")</f>
        <v>65533</v>
      </c>
      <c r="G106">
        <f>RTD("tos.rtd", , "BID", "ABTC")</f>
        <v>0.68700000000000006</v>
      </c>
      <c r="H106">
        <f>RTD("tos.rtd", , "ASK", "ABTC")</f>
        <v>0.68859999999999999</v>
      </c>
      <c r="I106" t="str">
        <f>RTD("tos.rtd", , "MARKET_CAP", "ABTC")</f>
        <v>724 M</v>
      </c>
      <c r="J106" t="str">
        <f>RTD("tos.rtd", , "CUSTOM3", "ABTC")</f>
        <v>loading</v>
      </c>
      <c r="K106" t="str">
        <f>RTD("tos.rtd", , "CUSTOM2", "ABTC")</f>
        <v>loading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4.7300000000000004</v>
      </c>
      <c r="D107">
        <f>RTD("tos.rtd", , "MARK_CHANGE", "ACHR")</f>
        <v>0</v>
      </c>
      <c r="E107" t="str">
        <f>RTD("tos.rtd", , "MARK_PERCENT_CHANGE", "ACHR")</f>
        <v>0.00%</v>
      </c>
      <c r="F107">
        <f>RTD("tos.rtd", , "VOLUME", "ACHR")</f>
        <v>37214</v>
      </c>
      <c r="G107">
        <f>RTD("tos.rtd", , "BID", "ACHR")</f>
        <v>4.7300000000000004</v>
      </c>
      <c r="H107">
        <f>RTD("tos.rtd", , "ASK", "ACHR")</f>
        <v>4.74</v>
      </c>
      <c r="I107" t="str">
        <f>RTD("tos.rtd", , "MARKET_CAP", "ACHR")</f>
        <v>3,608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1.3325</v>
      </c>
      <c r="D108">
        <f>RTD("tos.rtd", , "MARK_CHANGE", "ADSLF")</f>
        <v>0</v>
      </c>
      <c r="E108" t="str">
        <f>RTD("tos.rtd", , "MARK_PERCENT_CHANGE", "ADSLF")</f>
        <v>0.00%</v>
      </c>
      <c r="F108" t="str">
        <f>RTD("tos.rtd", , "VOLUME", "ADSLF")</f>
        <v>N/A</v>
      </c>
      <c r="G108">
        <f>RTD("tos.rtd", , "BID", "ADSLF")</f>
        <v>0.5</v>
      </c>
      <c r="H108">
        <f>RTD("tos.rtd", , "ASK", "ADSLF")</f>
        <v>1.87</v>
      </c>
      <c r="I108" t="str">
        <f>RTD("tos.rtd", , "MARKET_CAP", "ADSLF")</f>
        <v>285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3.34</v>
      </c>
      <c r="D109">
        <f>RTD("tos.rtd", , "MARK_CHANGE", "CYH")</f>
        <v>0</v>
      </c>
      <c r="E109" t="str">
        <f>RTD("tos.rtd", , "MARK_PERCENT_CHANGE", "CYH")</f>
        <v>0.00%</v>
      </c>
      <c r="F109">
        <f>RTD("tos.rtd", , "VOLUME", "CYH")</f>
        <v>15</v>
      </c>
      <c r="G109">
        <f>RTD("tos.rtd", , "BID", "CYH")</f>
        <v>3.15</v>
      </c>
      <c r="H109">
        <f>RTD("tos.rtd", , "ASK", "CYH")</f>
        <v>3.75</v>
      </c>
      <c r="I109" t="str">
        <f>RTD("tos.rtd", , "MARKET_CAP", "CYH")</f>
        <v>471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6.07</v>
      </c>
      <c r="D110">
        <f>RTD("tos.rtd", , "MARK_CHANGE", "ENVX")</f>
        <v>0</v>
      </c>
      <c r="E110" t="str">
        <f>RTD("tos.rtd", , "MARK_PERCENT_CHANGE", "ENVX")</f>
        <v>0.00%</v>
      </c>
      <c r="F110">
        <f>RTD("tos.rtd", , "VOLUME", "ENVX")</f>
        <v>1299</v>
      </c>
      <c r="G110">
        <f>RTD("tos.rtd", , "BID", "ENVX")</f>
        <v>6.06</v>
      </c>
      <c r="H110">
        <f>RTD("tos.rtd", , "ASK", "ENVX")</f>
        <v>6.21</v>
      </c>
      <c r="I110" t="str">
        <f>RTD("tos.rtd", , "MARKET_CAP", "ENVX")</f>
        <v>1,324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0.4521</v>
      </c>
      <c r="D111">
        <f>RTD("tos.rtd", , "MARK_CHANGE", "EONR")</f>
        <v>1.06E-2</v>
      </c>
      <c r="E111" t="str">
        <f>RTD("tos.rtd", , "MARK_PERCENT_CHANGE", "EONR")</f>
        <v>+2.40%</v>
      </c>
      <c r="F111">
        <f>RTD("tos.rtd", , "VOLUME", "EONR")</f>
        <v>8354</v>
      </c>
      <c r="G111">
        <f>RTD("tos.rtd", , "BID", "EONR")</f>
        <v>0.4521</v>
      </c>
      <c r="H111">
        <f>RTD("tos.rtd", , "ASK", "EONR")</f>
        <v>0.46829999999999999</v>
      </c>
      <c r="I111" t="str">
        <f>RTD("tos.rtd", , "MARKET_CAP", "EONR")</f>
        <v>22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2.96</v>
      </c>
      <c r="D112">
        <f>RTD("tos.rtd", , "MARK_CHANGE", "LNVGF")</f>
        <v>0</v>
      </c>
      <c r="E112" t="str">
        <f>RTD("tos.rtd", , "MARK_PERCENT_CHANGE", "LNVGF")</f>
        <v>0.00%</v>
      </c>
      <c r="F112" t="str">
        <f>RTD("tos.rtd", , "VOLUME", "LNVGF")</f>
        <v>N/A</v>
      </c>
      <c r="G112">
        <f>RTD("tos.rtd", , "BID", "LNVGF")</f>
        <v>2.46</v>
      </c>
      <c r="H112">
        <f>RTD("tos.rtd", , "ASK", "LNVGF")</f>
        <v>3.45</v>
      </c>
      <c r="I112" t="str">
        <f>RTD("tos.rtd", , "MARKET_CAP", "LNVGF")</f>
        <v>36,718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4.7300000000000004</v>
      </c>
      <c r="D113">
        <f>RTD("tos.rtd", , "MARK_CHANGE", "MX")</f>
        <v>0</v>
      </c>
      <c r="E113" t="str">
        <f>RTD("tos.rtd", , "MARK_PERCENT_CHANGE", "MX")</f>
        <v>0.00%</v>
      </c>
      <c r="F113">
        <f>RTD("tos.rtd", , "VOLUME", "MX")</f>
        <v>11559</v>
      </c>
      <c r="G113">
        <f>RTD("tos.rtd", , "BID", "MX")</f>
        <v>4.6900000000000004</v>
      </c>
      <c r="H113">
        <f>RTD("tos.rtd", , "ASK", "MX")</f>
        <v>4.8899999999999997</v>
      </c>
      <c r="I113" t="str">
        <f>RTD("tos.rtd", , "MARKET_CAP", "MX")</f>
        <v>173 M</v>
      </c>
      <c r="J113" t="str">
        <f>RTD("tos.rtd", , "CUSTOM3", "MX")</f>
        <v>loading</v>
      </c>
      <c r="K113" t="str">
        <f>RTD("tos.rtd", , "CUSTOM2", "MX")</f>
        <v>loading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5.92</v>
      </c>
      <c r="D114">
        <f>RTD("tos.rtd", , "MARK_CHANGE", "ROLR")</f>
        <v>0</v>
      </c>
      <c r="E114" t="str">
        <f>RTD("tos.rtd", , "MARK_PERCENT_CHANGE", "ROLR")</f>
        <v>0.00%</v>
      </c>
      <c r="F114">
        <f>RTD("tos.rtd", , "VOLUME", "ROLR")</f>
        <v>271</v>
      </c>
      <c r="G114">
        <f>RTD("tos.rtd", , "BID", "ROLR")</f>
        <v>5.36</v>
      </c>
      <c r="H114">
        <f>RTD("tos.rtd", , "ASK", "ROLR")</f>
        <v>6.14</v>
      </c>
      <c r="I114" t="str">
        <f>RTD("tos.rtd", , "MARKET_CAP", "ROLR")</f>
        <v>65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2.81</v>
      </c>
      <c r="D115">
        <f>RTD("tos.rtd", , "MARK_CHANGE", "SIDU")</f>
        <v>0</v>
      </c>
      <c r="E115" t="str">
        <f>RTD("tos.rtd", , "MARK_PERCENT_CHANGE", "SIDU")</f>
        <v>0.00%</v>
      </c>
      <c r="F115">
        <f>RTD("tos.rtd", , "VOLUME", "SIDU")</f>
        <v>38226</v>
      </c>
      <c r="G115">
        <f>RTD("tos.rtd", , "BID", "SIDU")</f>
        <v>2.8</v>
      </c>
      <c r="H115">
        <f>RTD("tos.rtd", , "ASK", "SIDU")</f>
        <v>2.81</v>
      </c>
      <c r="I115" t="str">
        <f>RTD("tos.rtd", , "MARKET_CAP", "SIDU")</f>
        <v>274 M</v>
      </c>
      <c r="J115" t="str">
        <f>RTD("tos.rtd", , "CUSTOM3", "SIDU")</f>
        <v>loading</v>
      </c>
      <c r="K115" t="str">
        <f>RTD("tos.rtd", , "CUSTOM2", "SIDU")</f>
        <v>loading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0.76880000000000004</v>
      </c>
      <c r="D116">
        <f>RTD("tos.rtd", , "MARK_CHANGE", "TMDE")</f>
        <v>0</v>
      </c>
      <c r="E116" t="str">
        <f>RTD("tos.rtd", , "MARK_PERCENT_CHANGE", "TMDE")</f>
        <v>0.00%</v>
      </c>
      <c r="F116">
        <f>RTD("tos.rtd", , "VOLUME", "TMDE")</f>
        <v>14903</v>
      </c>
      <c r="G116">
        <f>RTD("tos.rtd", , "BID", "TMDE")</f>
        <v>0.73</v>
      </c>
      <c r="H116">
        <f>RTD("tos.rtd", , "ASK", "TMDE")</f>
        <v>0.76980000000000004</v>
      </c>
      <c r="I116" t="str">
        <f>RTD("tos.rtd", , "MARKET_CAP", "TMDE")</f>
        <v>18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13.4</v>
      </c>
      <c r="D118">
        <f>RTD("tos.rtd", , "MARK_CHANGE", "SMX")</f>
        <v>0</v>
      </c>
      <c r="E118" t="str">
        <f>RTD("tos.rtd", , "MARK_PERCENT_CHANGE", "SMX")</f>
        <v>0.00%</v>
      </c>
      <c r="F118">
        <f>RTD("tos.rtd", , "VOLUME", "SMX")</f>
        <v>161</v>
      </c>
      <c r="G118">
        <f>RTD("tos.rtd", , "BID", "SMX")</f>
        <v>13</v>
      </c>
      <c r="H118">
        <f>RTD("tos.rtd", , "ASK", "SMX")</f>
        <v>13.87</v>
      </c>
      <c r="I118" t="str">
        <f>RTD("tos.rtd", , "MARKET_CAP", "SMX")</f>
        <v>8.7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1.21</v>
      </c>
      <c r="D119">
        <f>RTD("tos.rtd", , "MARK_CHANGE", "ELAB")</f>
        <v>0</v>
      </c>
      <c r="E119" t="str">
        <f>RTD("tos.rtd", , "MARK_PERCENT_CHANGE", "ELAB")</f>
        <v>0.00%</v>
      </c>
      <c r="F119">
        <f>RTD("tos.rtd", , "VOLUME", "ELAB")</f>
        <v>29175</v>
      </c>
      <c r="G119">
        <f>RTD("tos.rtd", , "BID", "ELAB")</f>
        <v>1.21</v>
      </c>
      <c r="H119">
        <f>RTD("tos.rtd", , "ASK", "ELAB")</f>
        <v>1.29</v>
      </c>
      <c r="I119" t="str">
        <f>RTD("tos.rtd", , "MARKET_CAP", "ELAB")</f>
        <v>5.5 M</v>
      </c>
      <c r="J119" t="str">
        <f>RTD("tos.rtd", , "CUSTOM3", "ELAB")</f>
        <v>loading</v>
      </c>
      <c r="K119" t="str">
        <f>RTD("tos.rtd", , "CUSTOM2", "ELAB")</f>
        <v>loading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1.31</v>
      </c>
      <c r="D120">
        <f>RTD("tos.rtd", , "MARK_CHANGE", "EU")</f>
        <v>0</v>
      </c>
      <c r="E120" t="str">
        <f>RTD("tos.rtd", , "MARK_PERCENT_CHANGE", "EU")</f>
        <v>0.00%</v>
      </c>
      <c r="F120">
        <f>RTD("tos.rtd", , "VOLUME", "EU")</f>
        <v>7567</v>
      </c>
      <c r="G120">
        <f>RTD("tos.rtd", , "BID", "EU")</f>
        <v>1.31</v>
      </c>
      <c r="H120">
        <f>RTD("tos.rtd", , "ASK", "EU")</f>
        <v>1.33</v>
      </c>
      <c r="I120" t="str">
        <f>RTD("tos.rtd", , "MARKET_CAP", "EU")</f>
        <v>254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1.29</v>
      </c>
      <c r="D121">
        <f>RTD("tos.rtd", , "MARK_CHANGE", "BATL")</f>
        <v>-0.02</v>
      </c>
      <c r="E121" t="str">
        <f>RTD("tos.rtd", , "MARK_PERCENT_CHANGE", "BATL")</f>
        <v>-1.53%</v>
      </c>
      <c r="F121">
        <f>RTD("tos.rtd", , "VOLUME", "BATL")</f>
        <v>159506</v>
      </c>
      <c r="G121">
        <f>RTD("tos.rtd", , "BID", "BATL")</f>
        <v>1.28</v>
      </c>
      <c r="H121">
        <f>RTD("tos.rtd", , "ASK", "BATL")</f>
        <v>1.29</v>
      </c>
      <c r="I121" t="str">
        <f>RTD("tos.rtd", , "MARKET_CAP", "BATL")</f>
        <v>29 M</v>
      </c>
      <c r="J121" t="str">
        <f>RTD("tos.rtd", , "CUSTOM3", "BATL")</f>
        <v>loading</v>
      </c>
      <c r="K121" t="str">
        <f>RTD("tos.rtd", , "CUSTOM2", "BATL")</f>
        <v>loading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11.19</v>
      </c>
      <c r="D122">
        <f>RTD("tos.rtd", , "MARK_CHANGE", "REPL")</f>
        <v>0.12</v>
      </c>
      <c r="E122" t="str">
        <f>RTD("tos.rtd", , "MARK_PERCENT_CHANGE", "REPL")</f>
        <v>+1.08%</v>
      </c>
      <c r="F122">
        <f>RTD("tos.rtd", , "VOLUME", "REPL")</f>
        <v>527</v>
      </c>
      <c r="G122">
        <f>RTD("tos.rtd", , "BID", "REPL")</f>
        <v>11.19</v>
      </c>
      <c r="H122">
        <f>RTD("tos.rtd", , "ASK", "REPL")</f>
        <v>11.36</v>
      </c>
      <c r="I122" t="str">
        <f>RTD("tos.rtd", , "MARKET_CAP", "REPL")</f>
        <v>929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1.5</v>
      </c>
      <c r="D123">
        <f>RTD("tos.rtd", , "MARK_CHANGE", "ZENA")</f>
        <v>0</v>
      </c>
      <c r="E123" t="str">
        <f>RTD("tos.rtd", , "MARK_PERCENT_CHANGE", "ZENA")</f>
        <v>0.00%</v>
      </c>
      <c r="F123">
        <f>RTD("tos.rtd", , "VOLUME", "ZENA")</f>
        <v>6152</v>
      </c>
      <c r="G123">
        <f>RTD("tos.rtd", , "BID", "ZENA")</f>
        <v>1.48</v>
      </c>
      <c r="H123">
        <f>RTD("tos.rtd", , "ASK", "ZENA")</f>
        <v>1.5</v>
      </c>
      <c r="I123" t="str">
        <f>RTD("tos.rtd", , "MARKET_CAP", "ZENA")</f>
        <v>131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0.4864</v>
      </c>
      <c r="D124">
        <f>RTD("tos.rtd", , "MARK_CHANGE", "PRZO")</f>
        <v>0</v>
      </c>
      <c r="E124" t="str">
        <f>RTD("tos.rtd", , "MARK_PERCENT_CHANGE", "PRZO")</f>
        <v>0.00%</v>
      </c>
      <c r="F124">
        <f>RTD("tos.rtd", , "VOLUME", "PRZO")</f>
        <v>1702</v>
      </c>
      <c r="G124">
        <f>RTD("tos.rtd", , "BID", "PRZO")</f>
        <v>0.4864</v>
      </c>
      <c r="H124">
        <f>RTD("tos.rtd", , "ASK", "PRZO")</f>
        <v>0.495</v>
      </c>
      <c r="I124" t="str">
        <f>RTD("tos.rtd", , "MARKET_CAP", "PRZO")</f>
        <v>13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2.57</v>
      </c>
      <c r="D125">
        <f>RTD("tos.rtd", , "MARK_CHANGE", "SLDP")</f>
        <v>-0.02</v>
      </c>
      <c r="E125" t="str">
        <f>RTD("tos.rtd", , "MARK_PERCENT_CHANGE", "SLDP")</f>
        <v>-0.77%</v>
      </c>
      <c r="F125">
        <f>RTD("tos.rtd", , "VOLUME", "SLDP")</f>
        <v>86707</v>
      </c>
      <c r="G125">
        <f>RTD("tos.rtd", , "BID", "SLDP")</f>
        <v>2.56</v>
      </c>
      <c r="H125">
        <f>RTD("tos.rtd", , "ASK", "SLDP")</f>
        <v>2.57</v>
      </c>
      <c r="I125" t="str">
        <f>RTD("tos.rtd", , "MARKET_CAP", "SLDP")</f>
        <v>583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0.96020000000000005</v>
      </c>
      <c r="D126">
        <f>RTD("tos.rtd", , "MARK_CHANGE", "SES")</f>
        <v>0</v>
      </c>
      <c r="E126" t="str">
        <f>RTD("tos.rtd", , "MARK_PERCENT_CHANGE", "SES")</f>
        <v>0.00%</v>
      </c>
      <c r="F126">
        <f>RTD("tos.rtd", , "VOLUME", "SES")</f>
        <v>34834</v>
      </c>
      <c r="G126">
        <f>RTD("tos.rtd", , "BID", "SES")</f>
        <v>0.96</v>
      </c>
      <c r="H126">
        <f>RTD("tos.rtd", , "ASK", "SES")</f>
        <v>0.96960000000000002</v>
      </c>
      <c r="I126" t="str">
        <f>RTD("tos.rtd", , "MARKET_CAP", "SES")</f>
        <v>355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7.08</v>
      </c>
      <c r="D127">
        <f>RTD("tos.rtd", , "MARK_CHANGE", "IMSR")</f>
        <v>0</v>
      </c>
      <c r="E127" t="str">
        <f>RTD("tos.rtd", , "MARK_PERCENT_CHANGE", "IMSR")</f>
        <v>0.00%</v>
      </c>
      <c r="F127">
        <f>RTD("tos.rtd", , "VOLUME", "IMSR")</f>
        <v>5076</v>
      </c>
      <c r="G127">
        <f>RTD("tos.rtd", , "BID", "IMSR")</f>
        <v>7.03</v>
      </c>
      <c r="H127">
        <f>RTD("tos.rtd", , "ASK", "IMSR")</f>
        <v>7.1</v>
      </c>
      <c r="I127" t="str">
        <f>RTD("tos.rtd", , "MARKET_CAP", "IMSR")</f>
        <v>750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5.74</v>
      </c>
      <c r="D128">
        <f>RTD("tos.rtd", , "MARK_CHANGE", "KEEL")</f>
        <v>0</v>
      </c>
      <c r="E128" t="str">
        <f>RTD("tos.rtd", , "MARK_PERCENT_CHANGE", "KEEL")</f>
        <v>0.00%</v>
      </c>
      <c r="F128">
        <f>RTD("tos.rtd", , "VOLUME", "KEEL")</f>
        <v>39861</v>
      </c>
      <c r="G128">
        <f>RTD("tos.rtd", , "BID", "KEEL")</f>
        <v>5.7</v>
      </c>
      <c r="H128">
        <f>RTD("tos.rtd", , "ASK", "KEEL")</f>
        <v>5.74</v>
      </c>
      <c r="I128" t="str">
        <f>RTD("tos.rtd", , "MARKET_CAP", "KEEL")</f>
        <v>3,466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0.64</v>
      </c>
      <c r="D129">
        <f>RTD("tos.rtd", , "MARK_CHANGE", "PMEC")</f>
        <v>0</v>
      </c>
      <c r="E129" t="str">
        <f>RTD("tos.rtd", , "MARK_PERCENT_CHANGE", "PMEC")</f>
        <v>0.00%</v>
      </c>
      <c r="F129">
        <f>RTD("tos.rtd", , "VOLUME", "PMEC")</f>
        <v>1</v>
      </c>
      <c r="G129">
        <f>RTD("tos.rtd", , "BID", "PMEC")</f>
        <v>0.6</v>
      </c>
      <c r="H129">
        <f>RTD("tos.rtd", , "ASK", "PMEC")</f>
        <v>0.68500000000000005</v>
      </c>
      <c r="I129" t="str">
        <f>RTD("tos.rtd", , "MARKET_CAP", "PMEC")</f>
        <v>25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1.9</v>
      </c>
      <c r="D130">
        <f>RTD("tos.rtd", , "MARK_CHANGE", "AIXI")</f>
        <v>0.06</v>
      </c>
      <c r="E130" t="str">
        <f>RTD("tos.rtd", , "MARK_PERCENT_CHANGE", "AIXI")</f>
        <v>+3.26%</v>
      </c>
      <c r="F130">
        <f>RTD("tos.rtd", , "VOLUME", "AIXI")</f>
        <v>108948</v>
      </c>
      <c r="G130">
        <f>RTD("tos.rtd", , "BID", "AIXI")</f>
        <v>1.9</v>
      </c>
      <c r="H130">
        <f>RTD("tos.rtd", , "ASK", "AIXI")</f>
        <v>1.92</v>
      </c>
      <c r="I130" t="str">
        <f>RTD("tos.rtd", , "MARKET_CAP", "AIXI")</f>
        <v>1.7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5</v>
      </c>
      <c r="D131">
        <f>RTD("tos.rtd", , "MARK_CHANGE", "ASTI")</f>
        <v>0</v>
      </c>
      <c r="E131" t="str">
        <f>RTD("tos.rtd", , "MARK_PERCENT_CHANGE", "ASTI")</f>
        <v>0.00%</v>
      </c>
      <c r="F131">
        <f>RTD("tos.rtd", , "VOLUME", "ASTI")</f>
        <v>957</v>
      </c>
      <c r="G131">
        <f>RTD("tos.rtd", , "BID", "ASTI")</f>
        <v>5</v>
      </c>
      <c r="H131">
        <f>RTD("tos.rtd", , "ASK", "ASTI")</f>
        <v>5.0999999999999996</v>
      </c>
      <c r="I131" t="str">
        <f>RTD("tos.rtd", , "MARKET_CAP", "ASTI")</f>
        <v>49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7.52</v>
      </c>
      <c r="D132">
        <f>RTD("tos.rtd", , "MARK_CHANGE", "QS")</f>
        <v>-0.04</v>
      </c>
      <c r="E132" t="str">
        <f>RTD("tos.rtd", , "MARK_PERCENT_CHANGE", "QS")</f>
        <v>-0.53%</v>
      </c>
      <c r="F132">
        <f>RTD("tos.rtd", , "VOLUME", "QS")</f>
        <v>32255</v>
      </c>
      <c r="G132">
        <f>RTD("tos.rtd", , "BID", "QS")</f>
        <v>7.46</v>
      </c>
      <c r="H132">
        <f>RTD("tos.rtd", , "ASK", "QS")</f>
        <v>7.52</v>
      </c>
      <c r="I132" t="str">
        <f>RTD("tos.rtd", , "MARKET_CAP", "QS")</f>
        <v>4,650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1.2</v>
      </c>
      <c r="D133">
        <f>RTD("tos.rtd", , "MARK_CHANGE", "RECT")</f>
        <v>-0.04</v>
      </c>
      <c r="E133" t="str">
        <f>RTD("tos.rtd", , "MARK_PERCENT_CHANGE", "RECT")</f>
        <v>-3.23%</v>
      </c>
      <c r="F133" t="str">
        <f>RTD("tos.rtd", , "VOLUME", "RECT")</f>
        <v>N/A</v>
      </c>
      <c r="G133">
        <f>RTD("tos.rtd", , "BID", "RECT")</f>
        <v>1.05</v>
      </c>
      <c r="H133">
        <f>RTD("tos.rtd", , "ASK", "RECT")</f>
        <v>1.2</v>
      </c>
      <c r="I133" t="str">
        <f>RTD("tos.rtd", , "MARKET_CAP", "RECT")</f>
        <v>18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7.86</v>
      </c>
      <c r="D134">
        <f>RTD("tos.rtd", , "MARK_CHANGE", "RYAM")</f>
        <v>0</v>
      </c>
      <c r="E134" t="str">
        <f>RTD("tos.rtd", , "MARK_PERCENT_CHANGE", "RYAM")</f>
        <v>0.00%</v>
      </c>
      <c r="F134">
        <f>RTD("tos.rtd", , "VOLUME", "RYAM")</f>
        <v>238</v>
      </c>
      <c r="G134">
        <f>RTD("tos.rtd", , "BID", "RYAM")</f>
        <v>7.12</v>
      </c>
      <c r="H134">
        <f>RTD("tos.rtd", , "ASK", "RYAM")</f>
        <v>10.029999999999999</v>
      </c>
      <c r="I134" t="str">
        <f>RTD("tos.rtd", , "MARKET_CAP", "RYAM")</f>
        <v>530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5.7</v>
      </c>
      <c r="D135">
        <f>RTD("tos.rtd", , "MARK_CHANGE", "ACRS")</f>
        <v>0.41</v>
      </c>
      <c r="E135" t="str">
        <f>RTD("tos.rtd", , "MARK_PERCENT_CHANGE", "ACRS")</f>
        <v>+7.75%</v>
      </c>
      <c r="F135">
        <f>RTD("tos.rtd", , "VOLUME", "ACRS")</f>
        <v>7345</v>
      </c>
      <c r="G135">
        <f>RTD("tos.rtd", , "BID", "ACRS")</f>
        <v>5.7</v>
      </c>
      <c r="H135">
        <f>RTD("tos.rtd", , "ASK", "ACRS")</f>
        <v>5.76</v>
      </c>
      <c r="I135" t="str">
        <f>RTD("tos.rtd", , "MARKET_CAP", "ACRS")</f>
        <v>739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7.71</v>
      </c>
      <c r="D136">
        <f>RTD("tos.rtd", , "MARK_CHANGE", "TWI")</f>
        <v>0</v>
      </c>
      <c r="E136" t="str">
        <f>RTD("tos.rtd", , "MARK_PERCENT_CHANGE", "TWI")</f>
        <v>0.00%</v>
      </c>
      <c r="F136">
        <f>RTD("tos.rtd", , "VOLUME", "TWI")</f>
        <v>759</v>
      </c>
      <c r="G136">
        <f>RTD("tos.rtd", , "BID", "TWI")</f>
        <v>7.41</v>
      </c>
      <c r="H136">
        <f>RTD("tos.rtd", , "ASK", "TWI")</f>
        <v>12.27</v>
      </c>
      <c r="I136" t="str">
        <f>RTD("tos.rtd", , "MARKET_CAP", "TWI")</f>
        <v>496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14.18</v>
      </c>
      <c r="D137">
        <f>RTD("tos.rtd", , "MARK_CHANGE", "CMPS")</f>
        <v>0.03</v>
      </c>
      <c r="E137" t="str">
        <f>RTD("tos.rtd", , "MARK_PERCENT_CHANGE", "CMPS")</f>
        <v>+0.21%</v>
      </c>
      <c r="F137">
        <f>RTD("tos.rtd", , "VOLUME", "CMPS")</f>
        <v>540</v>
      </c>
      <c r="G137">
        <f>RTD("tos.rtd", , "BID", "CMPS")</f>
        <v>14.18</v>
      </c>
      <c r="H137">
        <f>RTD("tos.rtd", , "ASK", "CMPS")</f>
        <v>14.5</v>
      </c>
      <c r="I137" t="str">
        <f>RTD("tos.rtd", , "MARKET_CAP", "CMPS")</f>
        <v>1,910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11.45</v>
      </c>
      <c r="D138">
        <f>RTD("tos.rtd", , "MARK_CHANGE", "ABSI")</f>
        <v>-0.14000000000000001</v>
      </c>
      <c r="E138" t="str">
        <f>RTD("tos.rtd", , "MARK_PERCENT_CHANGE", "ABSI")</f>
        <v>-1.21%</v>
      </c>
      <c r="F138">
        <f>RTD("tos.rtd", , "VOLUME", "ABSI")</f>
        <v>8864</v>
      </c>
      <c r="G138">
        <f>RTD("tos.rtd", , "BID", "ABSI")</f>
        <v>11.3</v>
      </c>
      <c r="H138">
        <f>RTD("tos.rtd", , "ASK", "ABSI")</f>
        <v>11.45</v>
      </c>
      <c r="I138" t="str">
        <f>RTD("tos.rtd", , "MARKET_CAP", "ABSI")</f>
        <v>1,963 M</v>
      </c>
      <c r="J138" t="str">
        <f>RTD("tos.rtd", , "CUSTOM3", "ABSI")</f>
        <v>loading</v>
      </c>
      <c r="K138">
        <f>RTD("tos.rtd", , "CUSTOM2", "ABSI")</f>
        <v>76.260000000000005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3.74</v>
      </c>
      <c r="D139">
        <f>RTD("tos.rtd", , "MARK_CHANGE", "BTG")</f>
        <v>0</v>
      </c>
      <c r="E139" t="str">
        <f>RTD("tos.rtd", , "MARK_PERCENT_CHANGE", "BTG")</f>
        <v>0.00%</v>
      </c>
      <c r="F139">
        <f>RTD("tos.rtd", , "VOLUME", "BTG")</f>
        <v>28244</v>
      </c>
      <c r="G139">
        <f>RTD("tos.rtd", , "BID", "BTG")</f>
        <v>3.71</v>
      </c>
      <c r="H139">
        <f>RTD("tos.rtd", , "ASK", "BTG")</f>
        <v>3.74</v>
      </c>
      <c r="I139" t="str">
        <f>RTD("tos.rtd", , "MARKET_CAP", "BTG")</f>
        <v>4,983 M</v>
      </c>
      <c r="J139" t="str">
        <f>RTD("tos.rtd", , "CUSTOM3", "BTG")</f>
        <v>loading</v>
      </c>
      <c r="K139" t="str">
        <f>RTD("tos.rtd", , "CUSTOM2", "BTG")</f>
        <v>loading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10.57</v>
      </c>
      <c r="D140">
        <f>RTD("tos.rtd", , "MARK_CHANGE", "GPK")</f>
        <v>0</v>
      </c>
      <c r="E140" t="str">
        <f>RTD("tos.rtd", , "MARK_PERCENT_CHANGE", "GPK")</f>
        <v>0.00%</v>
      </c>
      <c r="F140">
        <f>RTD("tos.rtd", , "VOLUME", "GPK")</f>
        <v>1</v>
      </c>
      <c r="G140">
        <f>RTD("tos.rtd", , "BID", "GPK")</f>
        <v>9.9600000000000009</v>
      </c>
      <c r="H140">
        <f>RTD("tos.rtd", , "ASK", "GPK")</f>
        <v>10.59</v>
      </c>
      <c r="I140" t="str">
        <f>RTD("tos.rtd", , "MARKET_CAP", "GPK")</f>
        <v>3,128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1.1499999999999999</v>
      </c>
      <c r="D141">
        <f>RTD("tos.rtd", , "MARK_CHANGE", "BDMD")</f>
        <v>0</v>
      </c>
      <c r="E141" t="str">
        <f>RTD("tos.rtd", , "MARK_PERCENT_CHANGE", "BDMD")</f>
        <v>0.00%</v>
      </c>
      <c r="F141">
        <f>RTD("tos.rtd", , "VOLUME", "BDMD")</f>
        <v>460</v>
      </c>
      <c r="G141">
        <f>RTD("tos.rtd", , "BID", "BDMD")</f>
        <v>0.95</v>
      </c>
      <c r="H141">
        <f>RTD("tos.rtd", , "ASK", "BDMD")</f>
        <v>1.4</v>
      </c>
      <c r="I141" t="str">
        <f>RTD("tos.rtd", , "MARKET_CAP", "BDMD")</f>
        <v>37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5.81</v>
      </c>
      <c r="D142">
        <f>RTD("tos.rtd", , "MARK_CHANGE", "ACDC")</f>
        <v>0</v>
      </c>
      <c r="E142" t="str">
        <f>RTD("tos.rtd", , "MARK_PERCENT_CHANGE", "ACDC")</f>
        <v>0.00%</v>
      </c>
      <c r="F142">
        <f>RTD("tos.rtd", , "VOLUME", "ACDC")</f>
        <v>24</v>
      </c>
      <c r="G142">
        <f>RTD("tos.rtd", , "BID", "ACDC")</f>
        <v>5.18</v>
      </c>
      <c r="H142">
        <f>RTD("tos.rtd", , "ASK", "ACDC")</f>
        <v>6.14</v>
      </c>
      <c r="I142" t="str">
        <f>RTD("tos.rtd", , "MARKET_CAP", "ACDC")</f>
        <v>1,051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7.47</v>
      </c>
      <c r="D143">
        <f>RTD("tos.rtd", , "MARK_CHANGE", "MLEC")</f>
        <v>0</v>
      </c>
      <c r="E143" t="str">
        <f>RTD("tos.rtd", , "MARK_PERCENT_CHANGE", "MLEC")</f>
        <v>0.00%</v>
      </c>
      <c r="F143">
        <f>RTD("tos.rtd", , "VOLUME", "MLEC")</f>
        <v>12</v>
      </c>
      <c r="G143">
        <f>RTD("tos.rtd", , "BID", "MLEC")</f>
        <v>3.01</v>
      </c>
      <c r="H143">
        <f>RTD("tos.rtd", , "ASK", "MLEC")</f>
        <v>8.69</v>
      </c>
      <c r="I143" t="str">
        <f>RTD("tos.rtd", , "MARKET_CAP", "MLEC")</f>
        <v>5.4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2.0299999999999998</v>
      </c>
      <c r="D144">
        <f>RTD("tos.rtd", , "MARK_CHANGE", "IKT")</f>
        <v>0</v>
      </c>
      <c r="E144" t="str">
        <f>RTD("tos.rtd", , "MARK_PERCENT_CHANGE", "IKT")</f>
        <v>0.00%</v>
      </c>
      <c r="F144">
        <f>RTD("tos.rtd", , "VOLUME", "IKT")</f>
        <v>40</v>
      </c>
      <c r="G144">
        <f>RTD("tos.rtd", , "BID", "IKT")</f>
        <v>1.93</v>
      </c>
      <c r="H144">
        <f>RTD("tos.rtd", , "ASK", "IKT")</f>
        <v>2.0499999999999998</v>
      </c>
      <c r="I144" t="str">
        <f>RTD("tos.rtd", , "MARKET_CAP", "IKT")</f>
        <v>268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6.8</v>
      </c>
      <c r="D145">
        <f>RTD("tos.rtd", , "MARK_CHANGE", "MNTS")</f>
        <v>0.08</v>
      </c>
      <c r="E145" t="str">
        <f>RTD("tos.rtd", , "MARK_PERCENT_CHANGE", "MNTS")</f>
        <v>+1.19%</v>
      </c>
      <c r="F145">
        <f>RTD("tos.rtd", , "VOLUME", "MNTS")</f>
        <v>13720</v>
      </c>
      <c r="G145">
        <f>RTD("tos.rtd", , "BID", "MNTS")</f>
        <v>6.8</v>
      </c>
      <c r="H145">
        <f>RTD("tos.rtd", , "ASK", "MNTS")</f>
        <v>6.88</v>
      </c>
      <c r="I145" t="str">
        <f>RTD("tos.rtd", , "MARKET_CAP", "MNTS")</f>
        <v>127 M</v>
      </c>
      <c r="J145" t="str">
        <f>RTD("tos.rtd", , "CUSTOM3", "MNTS")</f>
        <v>loading</v>
      </c>
      <c r="K145" t="str">
        <f>RTD("tos.rtd", , "CUSTOM2", "MNTS")</f>
        <v>loading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4.49</v>
      </c>
      <c r="D146">
        <f>RTD("tos.rtd", , "MARK_CHANGE", "CDLX")</f>
        <v>0</v>
      </c>
      <c r="E146" t="str">
        <f>RTD("tos.rtd", , "MARK_PERCENT_CHANGE", "CDLX")</f>
        <v>0.00%</v>
      </c>
      <c r="F146" t="str">
        <f>RTD("tos.rtd", , "VOLUME", "CDLX")</f>
        <v>N/A</v>
      </c>
      <c r="G146">
        <f>RTD("tos.rtd", , "BID", "CDLX")</f>
        <v>1.82</v>
      </c>
      <c r="H146">
        <f>RTD("tos.rtd", , "ASK", "CDLX")</f>
        <v>4.8</v>
      </c>
      <c r="I146" t="str">
        <f>RTD("tos.rtd", , "MARKET_CAP", "CDLX")</f>
        <v>26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1.53</v>
      </c>
      <c r="D147">
        <f>RTD("tos.rtd", , "MARK_CHANGE", "OCGN")</f>
        <v>0</v>
      </c>
      <c r="E147" t="str">
        <f>RTD("tos.rtd", , "MARK_PERCENT_CHANGE", "OCGN")</f>
        <v>0.00%</v>
      </c>
      <c r="F147">
        <f>RTD("tos.rtd", , "VOLUME", "OCGN")</f>
        <v>19502</v>
      </c>
      <c r="G147">
        <f>RTD("tos.rtd", , "BID", "OCGN")</f>
        <v>1.51</v>
      </c>
      <c r="H147">
        <f>RTD("tos.rtd", , "ASK", "OCGN")</f>
        <v>1.56</v>
      </c>
      <c r="I147" t="str">
        <f>RTD("tos.rtd", , "MARKET_CAP", "OCGN")</f>
        <v>518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1.35</v>
      </c>
      <c r="D148">
        <f>RTD("tos.rtd", , "MARK_CHANGE", "SLNH")</f>
        <v>0</v>
      </c>
      <c r="E148" t="str">
        <f>RTD("tos.rtd", , "MARK_PERCENT_CHANGE", "SLNH")</f>
        <v>0.00%</v>
      </c>
      <c r="F148">
        <f>RTD("tos.rtd", , "VOLUME", "SLNH")</f>
        <v>54174</v>
      </c>
      <c r="G148">
        <f>RTD("tos.rtd", , "BID", "SLNH")</f>
        <v>1.34</v>
      </c>
      <c r="H148">
        <f>RTD("tos.rtd", , "ASK", "SLNH")</f>
        <v>1.35</v>
      </c>
      <c r="I148" t="str">
        <f>RTD("tos.rtd", , "MARKET_CAP", "SLNH")</f>
        <v>213 M</v>
      </c>
      <c r="J148" t="str">
        <f>RTD("tos.rtd", , "CUSTOM3", "SLNH")</f>
        <v>loading</v>
      </c>
      <c r="K148">
        <f>RTD("tos.rtd", , "CUSTOM2", "SLNH")</f>
        <v>34.61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2.97</v>
      </c>
      <c r="D149">
        <f>RTD("tos.rtd", , "MARK_CHANGE", "GCTS")</f>
        <v>0</v>
      </c>
      <c r="E149" t="str">
        <f>RTD("tos.rtd", , "MARK_PERCENT_CHANGE", "GCTS")</f>
        <v>0.00%</v>
      </c>
      <c r="F149">
        <f>RTD("tos.rtd", , "VOLUME", "GCTS")</f>
        <v>14402</v>
      </c>
      <c r="G149">
        <f>RTD("tos.rtd", , "BID", "GCTS")</f>
        <v>2.9</v>
      </c>
      <c r="H149">
        <f>RTD("tos.rtd", , "ASK", "GCTS")</f>
        <v>2.99</v>
      </c>
      <c r="I149" t="str">
        <f>RTD("tos.rtd", , "MARKET_CAP", "GCTS")</f>
        <v>270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8.74</v>
      </c>
      <c r="D150">
        <f>RTD("tos.rtd", , "MARK_CHANGE", "HLX")</f>
        <v>0</v>
      </c>
      <c r="E150" t="str">
        <f>RTD("tos.rtd", , "MARK_PERCENT_CHANGE", "HLX")</f>
        <v>0.00%</v>
      </c>
      <c r="F150">
        <f>RTD("tos.rtd", , "VOLUME", "HLX")</f>
        <v>207</v>
      </c>
      <c r="G150">
        <f>RTD("tos.rtd", , "BID", "HLX")</f>
        <v>8.65</v>
      </c>
      <c r="H150">
        <f>RTD("tos.rtd", , "ASK", "HLX")</f>
        <v>8.9700000000000006</v>
      </c>
      <c r="I150" t="str">
        <f>RTD("tos.rtd", , "MARKET_CAP", "HLX")</f>
        <v>1,288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5.73</v>
      </c>
      <c r="D151">
        <f>RTD("tos.rtd", , "MARK_CHANGE", "JBLU")</f>
        <v>0</v>
      </c>
      <c r="E151" t="str">
        <f>RTD("tos.rtd", , "MARK_PERCENT_CHANGE", "JBLU")</f>
        <v>0.00%</v>
      </c>
      <c r="F151">
        <f>RTD("tos.rtd", , "VOLUME", "JBLU")</f>
        <v>44</v>
      </c>
      <c r="G151">
        <f>RTD("tos.rtd", , "BID", "JBLU")</f>
        <v>5.54</v>
      </c>
      <c r="H151">
        <f>RTD("tos.rtd", , "ASK", "JBLU")</f>
        <v>5.78</v>
      </c>
      <c r="I151" t="str">
        <f>RTD("tos.rtd", , "MARKET_CAP", "JBLU")</f>
        <v>2,132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7.91</v>
      </c>
      <c r="D153">
        <f>RTD("tos.rtd", , "MARK_CHANGE", "ULCC")</f>
        <v>0</v>
      </c>
      <c r="E153" t="str">
        <f>RTD("tos.rtd", , "MARK_PERCENT_CHANGE", "ULCC")</f>
        <v>0.00%</v>
      </c>
      <c r="F153">
        <f>RTD("tos.rtd", , "VOLUME", "ULCC")</f>
        <v>27</v>
      </c>
      <c r="G153">
        <f>RTD("tos.rtd", , "BID", "ULCC")</f>
        <v>7.77</v>
      </c>
      <c r="H153">
        <f>RTD("tos.rtd", , "ASK", "ULCC")</f>
        <v>7.95</v>
      </c>
      <c r="I153" t="str">
        <f>RTD("tos.rtd", , "MARKET_CAP", "ULCC")</f>
        <v>1,818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18.190000000000001</v>
      </c>
      <c r="D154">
        <f>RTD("tos.rtd", , "MARK_CHANGE", "QNCX")</f>
        <v>0</v>
      </c>
      <c r="E154" t="str">
        <f>RTD("tos.rtd", , "MARK_PERCENT_CHANGE", "QNCX")</f>
        <v>0.00%</v>
      </c>
      <c r="F154">
        <f>RTD("tos.rtd", , "VOLUME", "QNCX")</f>
        <v>1350</v>
      </c>
      <c r="G154">
        <f>RTD("tos.rtd", , "BID", "QNCX")</f>
        <v>7.28</v>
      </c>
      <c r="H154">
        <f>RTD("tos.rtd", , "ASK", "QNCX")</f>
        <v>28.55</v>
      </c>
      <c r="I154" t="str">
        <f>RTD("tos.rtd", , "MARKET_CAP", "QNCX")</f>
        <v>18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9.9</v>
      </c>
      <c r="D155">
        <f>RTD("tos.rtd", , "MARK_CHANGE", "SHLS")</f>
        <v>0</v>
      </c>
      <c r="E155" t="str">
        <f>RTD("tos.rtd", , "MARK_PERCENT_CHANGE", "SHLS")</f>
        <v>0.00%</v>
      </c>
      <c r="F155">
        <f>RTD("tos.rtd", , "VOLUME", "SHLS")</f>
        <v>2216</v>
      </c>
      <c r="G155">
        <f>RTD("tos.rtd", , "BID", "SHLS")</f>
        <v>9.6999999999999993</v>
      </c>
      <c r="H155">
        <f>RTD("tos.rtd", , "ASK", "SHLS")</f>
        <v>9.94</v>
      </c>
      <c r="I155" t="str">
        <f>RTD("tos.rtd", , "MARKET_CAP", "SHLS")</f>
        <v>1,661 M</v>
      </c>
      <c r="J155" t="str">
        <f>RTD("tos.rtd", , "CUSTOM3", "SHLS")</f>
        <v>loading</v>
      </c>
      <c r="K155" t="str">
        <f>RTD("tos.rtd", , "CUSTOM2", "SHLS")</f>
        <v>loading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2.2000000000000002</v>
      </c>
      <c r="D156">
        <f>RTD("tos.rtd", , "MARK_CHANGE", "GLND")</f>
        <v>0</v>
      </c>
      <c r="E156" t="str">
        <f>RTD("tos.rtd", , "MARK_PERCENT_CHANGE", "GLND")</f>
        <v>0.00%</v>
      </c>
      <c r="F156">
        <f>RTD("tos.rtd", , "VOLUME", "GLND")</f>
        <v>3345</v>
      </c>
      <c r="G156">
        <f>RTD("tos.rtd", , "BID", "GLND")</f>
        <v>2.16</v>
      </c>
      <c r="H156">
        <f>RTD("tos.rtd", , "ASK", "GLND")</f>
        <v>2.2000000000000002</v>
      </c>
      <c r="I156" t="str">
        <f>RTD("tos.rtd", , "MARKET_CAP", "GLND")</f>
        <v>96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11.81</v>
      </c>
      <c r="D157">
        <f>RTD("tos.rtd", , "MARK_CHANGE", "CTOS")</f>
        <v>0</v>
      </c>
      <c r="E157" t="str">
        <f>RTD("tos.rtd", , "MARK_PERCENT_CHANGE", "CTOS")</f>
        <v>0.00%</v>
      </c>
      <c r="F157">
        <f>RTD("tos.rtd", , "VOLUME", "CTOS")</f>
        <v>84</v>
      </c>
      <c r="G157">
        <f>RTD("tos.rtd", , "BID", "CTOS")</f>
        <v>4.7300000000000004</v>
      </c>
      <c r="H157">
        <f>RTD("tos.rtd", , "ASK", "CTOS")</f>
        <v>11.81</v>
      </c>
      <c r="I157" t="str">
        <f>RTD("tos.rtd", , "MARKET_CAP", "CTOS")</f>
        <v>2,686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9.16</v>
      </c>
      <c r="D158">
        <f>RTD("tos.rtd", , "MARK_CHANGE", "FRMI")</f>
        <v>0</v>
      </c>
      <c r="E158" t="str">
        <f>RTD("tos.rtd", , "MARK_PERCENT_CHANGE", "FRMI")</f>
        <v>0.00%</v>
      </c>
      <c r="F158">
        <f>RTD("tos.rtd", , "VOLUME", "FRMI")</f>
        <v>4436</v>
      </c>
      <c r="G158">
        <f>RTD("tos.rtd", , "BID", "FRMI")</f>
        <v>9</v>
      </c>
      <c r="H158">
        <f>RTD("tos.rtd", , "ASK", "FRMI")</f>
        <v>9.1999999999999993</v>
      </c>
      <c r="I158" t="str">
        <f>RTD("tos.rtd", , "MARKET_CAP", "FRMI")</f>
        <v>5,845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4.74</v>
      </c>
      <c r="D159">
        <f>RTD("tos.rtd", , "MARK_CHANGE", "AMBP")</f>
        <v>0</v>
      </c>
      <c r="E159" t="str">
        <f>RTD("tos.rtd", , "MARK_PERCENT_CHANGE", "AMBP")</f>
        <v>0.00%</v>
      </c>
      <c r="F159" t="str">
        <f>RTD("tos.rtd", , "VOLUME", "AMBP")</f>
        <v>N/A</v>
      </c>
      <c r="G159">
        <f>RTD("tos.rtd", , "BID", "AMBP")</f>
        <v>3.73</v>
      </c>
      <c r="H159">
        <f>RTD("tos.rtd", , "ASK", "AMBP")</f>
        <v>4.96</v>
      </c>
      <c r="I159" t="str">
        <f>RTD("tos.rtd", , "MARKET_CAP", "AMBP")</f>
        <v>2,833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0.51900000000000002</v>
      </c>
      <c r="D160">
        <f>RTD("tos.rtd", , "MARK_CHANGE", "GNPX")</f>
        <v>0</v>
      </c>
      <c r="E160" t="str">
        <f>RTD("tos.rtd", , "MARK_PERCENT_CHANGE", "GNPX")</f>
        <v>0.00%</v>
      </c>
      <c r="F160">
        <f>RTD("tos.rtd", , "VOLUME", "GNPX")</f>
        <v>70</v>
      </c>
      <c r="G160">
        <f>RTD("tos.rtd", , "BID", "GNPX")</f>
        <v>0.495</v>
      </c>
      <c r="H160">
        <f>RTD("tos.rtd", , "ASK", "GNPX")</f>
        <v>0.55010000000000003</v>
      </c>
      <c r="I160" t="str">
        <f>RTD("tos.rtd", , "MARKET_CAP", "GNPX")</f>
        <v>5.7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4.49</v>
      </c>
      <c r="D161">
        <f>RTD("tos.rtd", , "MARK_CHANGE", "INDI")</f>
        <v>0</v>
      </c>
      <c r="E161" t="str">
        <f>RTD("tos.rtd", , "MARK_PERCENT_CHANGE", "INDI")</f>
        <v>0.00%</v>
      </c>
      <c r="F161">
        <f>RTD("tos.rtd", , "VOLUME", "INDI")</f>
        <v>16195</v>
      </c>
      <c r="G161">
        <f>RTD("tos.rtd", , "BID", "INDI")</f>
        <v>4.4800000000000004</v>
      </c>
      <c r="H161">
        <f>RTD("tos.rtd", , "ASK", "INDI")</f>
        <v>4.53</v>
      </c>
      <c r="I161" t="str">
        <f>RTD("tos.rtd", , "MARKET_CAP", "INDI")</f>
        <v>949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1.88</v>
      </c>
      <c r="D162">
        <f>RTD("tos.rtd", , "MARK_CHANGE", "RENX")</f>
        <v>0</v>
      </c>
      <c r="E162" t="str">
        <f>RTD("tos.rtd", , "MARK_PERCENT_CHANGE", "RENX")</f>
        <v>0.00%</v>
      </c>
      <c r="F162">
        <f>RTD("tos.rtd", , "VOLUME", "RENX")</f>
        <v>736</v>
      </c>
      <c r="G162">
        <f>RTD("tos.rtd", , "BID", "RENX")</f>
        <v>1.8</v>
      </c>
      <c r="H162">
        <f>RTD("tos.rtd", , "ASK", "RENX")</f>
        <v>2.0299999999999998</v>
      </c>
      <c r="I162" t="str">
        <f>RTD("tos.rtd", , "MARKET_CAP", "RENX")</f>
        <v>4.9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5.07</v>
      </c>
      <c r="D163">
        <f>RTD("tos.rtd", , "MARK_CHANGE", "INV")</f>
        <v>0</v>
      </c>
      <c r="E163" t="str">
        <f>RTD("tos.rtd", , "MARK_PERCENT_CHANGE", "INV")</f>
        <v>0.00%</v>
      </c>
      <c r="F163">
        <f>RTD("tos.rtd", , "VOLUME", "INV")</f>
        <v>1010</v>
      </c>
      <c r="G163">
        <f>RTD("tos.rtd", , "BID", "INV")</f>
        <v>4.9800000000000004</v>
      </c>
      <c r="H163">
        <f>RTD("tos.rtd", , "ASK", "INV")</f>
        <v>5.0999999999999996</v>
      </c>
      <c r="I163" t="str">
        <f>RTD("tos.rtd", , "MARKET_CAP", "INV")</f>
        <v>426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3.68</v>
      </c>
      <c r="D164">
        <f>RTD("tos.rtd", , "MARK_CHANGE", "FULC")</f>
        <v>0.02</v>
      </c>
      <c r="E164" t="str">
        <f>RTD("tos.rtd", , "MARK_PERCENT_CHANGE", "FULC")</f>
        <v>+0.55%</v>
      </c>
      <c r="F164">
        <f>RTD("tos.rtd", , "VOLUME", "FULC")</f>
        <v>758</v>
      </c>
      <c r="G164">
        <f>RTD("tos.rtd", , "BID", "FULC")</f>
        <v>3.68</v>
      </c>
      <c r="H164">
        <f>RTD("tos.rtd", , "ASK", "FULC")</f>
        <v>4.74</v>
      </c>
      <c r="I164" t="str">
        <f>RTD("tos.rtd", , "MARKET_CAP", "FULC")</f>
        <v>244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5.83</v>
      </c>
      <c r="D165">
        <f>RTD("tos.rtd", , "MARK_CHANGE", "RES")</f>
        <v>0</v>
      </c>
      <c r="E165" t="str">
        <f>RTD("tos.rtd", , "MARK_PERCENT_CHANGE", "RES")</f>
        <v>0.00%</v>
      </c>
      <c r="F165">
        <f>RTD("tos.rtd", , "VOLUME", "RES")</f>
        <v>1126</v>
      </c>
      <c r="G165">
        <f>RTD("tos.rtd", , "BID", "RES")</f>
        <v>4.5</v>
      </c>
      <c r="H165">
        <f>RTD("tos.rtd", , "ASK", "RES")</f>
        <v>7.56</v>
      </c>
      <c r="I165" t="str">
        <f>RTD("tos.rtd", , "MARKET_CAP", "RES")</f>
        <v>1,292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4.8499999999999996</v>
      </c>
      <c r="D166">
        <f>RTD("tos.rtd", , "MARK_CHANGE", "ZNTL")</f>
        <v>0</v>
      </c>
      <c r="E166" t="str">
        <f>RTD("tos.rtd", , "MARK_PERCENT_CHANGE", "ZNTL")</f>
        <v>0.00%</v>
      </c>
      <c r="F166">
        <f>RTD("tos.rtd", , "VOLUME", "ZNTL")</f>
        <v>361</v>
      </c>
      <c r="G166">
        <f>RTD("tos.rtd", , "BID", "ZNTL")</f>
        <v>3.41</v>
      </c>
      <c r="H166">
        <f>RTD("tos.rtd", , "ASK", "ZNTL")</f>
        <v>5.05</v>
      </c>
      <c r="I166" t="str">
        <f>RTD("tos.rtd", , "MARKET_CAP", "ZNTL")</f>
        <v>345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8.11</v>
      </c>
      <c r="D167">
        <f>RTD("tos.rtd", , "MARK_CHANGE", "PCT")</f>
        <v>0</v>
      </c>
      <c r="E167" t="str">
        <f>RTD("tos.rtd", , "MARK_PERCENT_CHANGE", "PCT")</f>
        <v>0.00%</v>
      </c>
      <c r="F167">
        <f>RTD("tos.rtd", , "VOLUME", "PCT")</f>
        <v>35</v>
      </c>
      <c r="G167">
        <f>RTD("tos.rtd", , "BID", "PCT")</f>
        <v>7.76</v>
      </c>
      <c r="H167">
        <f>RTD("tos.rtd", , "ASK", "PCT")</f>
        <v>8.2899999999999991</v>
      </c>
      <c r="I167" t="str">
        <f>RTD("tos.rtd", , "MARKET_CAP", "PCT")</f>
        <v>1,628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5.77</v>
      </c>
      <c r="D168">
        <f>RTD("tos.rtd", , "MARK_CHANGE", "TDIC")</f>
        <v>0.11</v>
      </c>
      <c r="E168" t="str">
        <f>RTD("tos.rtd", , "MARK_PERCENT_CHANGE", "TDIC")</f>
        <v>+1.94%</v>
      </c>
      <c r="F168">
        <f>RTD("tos.rtd", , "VOLUME", "TDIC")</f>
        <v>6442</v>
      </c>
      <c r="G168">
        <f>RTD("tos.rtd", , "BID", "TDIC")</f>
        <v>5.77</v>
      </c>
      <c r="H168">
        <f>RTD("tos.rtd", , "ASK", "TDIC")</f>
        <v>5.88</v>
      </c>
      <c r="I168" t="str">
        <f>RTD("tos.rtd", , "MARKET_CAP", "TDIC")</f>
        <v>8.5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4.4800000000000004</v>
      </c>
      <c r="D169">
        <f>RTD("tos.rtd", , "MARK_CHANGE", "KOPN")</f>
        <v>0</v>
      </c>
      <c r="E169" t="str">
        <f>RTD("tos.rtd", , "MARK_PERCENT_CHANGE", "KOPN")</f>
        <v>0.00%</v>
      </c>
      <c r="F169">
        <f>RTD("tos.rtd", , "VOLUME", "KOPN")</f>
        <v>3195</v>
      </c>
      <c r="G169">
        <f>RTD("tos.rtd", , "BID", "KOPN")</f>
        <v>4.4800000000000004</v>
      </c>
      <c r="H169">
        <f>RTD("tos.rtd", , "ASK", "KOPN")</f>
        <v>4.57</v>
      </c>
      <c r="I169" t="str">
        <f>RTD("tos.rtd", , "MARKET_CAP", "KOPN")</f>
        <v>830 M</v>
      </c>
      <c r="J169" t="str">
        <f>RTD("tos.rtd", , "CUSTOM3", "KOPN")</f>
        <v>loading</v>
      </c>
      <c r="K169" t="str">
        <f>RTD("tos.rtd", , "CUSTOM2", "KOPN")</f>
        <v>loading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7.52</v>
      </c>
      <c r="D170">
        <f>RTD("tos.rtd", , "MARK_CHANGE", "QS")</f>
        <v>-0.04</v>
      </c>
      <c r="E170" t="str">
        <f>RTD("tos.rtd", , "MARK_PERCENT_CHANGE", "QS")</f>
        <v>-0.53%</v>
      </c>
      <c r="F170">
        <f>RTD("tos.rtd", , "VOLUME", "QS")</f>
        <v>32255</v>
      </c>
      <c r="G170">
        <f>RTD("tos.rtd", , "BID", "QS")</f>
        <v>7.46</v>
      </c>
      <c r="H170">
        <f>RTD("tos.rtd", , "ASK", "QS")</f>
        <v>7.52</v>
      </c>
      <c r="I170" t="str">
        <f>RTD("tos.rtd", , "MARKET_CAP", "QS")</f>
        <v>4,650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9.56</v>
      </c>
      <c r="D171">
        <f>RTD("tos.rtd", , "MARK_CHANGE", "MBLY")</f>
        <v>-0.12</v>
      </c>
      <c r="E171" t="str">
        <f>RTD("tos.rtd", , "MARK_PERCENT_CHANGE", "MBLY")</f>
        <v>-1.24%</v>
      </c>
      <c r="F171">
        <f>RTD("tos.rtd", , "VOLUME", "MBLY")</f>
        <v>33516</v>
      </c>
      <c r="G171">
        <f>RTD("tos.rtd", , "BID", "MBLY")</f>
        <v>9.5299999999999994</v>
      </c>
      <c r="H171">
        <f>RTD("tos.rtd", , "ASK", "MBLY")</f>
        <v>9.56</v>
      </c>
      <c r="I171" t="str">
        <f>RTD("tos.rtd", , "MARKET_CAP", "MBLY")</f>
        <v>8,152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1.21</v>
      </c>
      <c r="D172">
        <f>RTD("tos.rtd", , "MARK_CHANGE", "UCAR")</f>
        <v>-0.01</v>
      </c>
      <c r="E172" t="str">
        <f>RTD("tos.rtd", , "MARK_PERCENT_CHANGE", "UCAR")</f>
        <v>-0.82%</v>
      </c>
      <c r="F172">
        <f>RTD("tos.rtd", , "VOLUME", "UCAR")</f>
        <v>1943</v>
      </c>
      <c r="G172">
        <f>RTD("tos.rtd", , "BID", "UCAR")</f>
        <v>1.17</v>
      </c>
      <c r="H172">
        <f>RTD("tos.rtd", , "ASK", "UCAR")</f>
        <v>1.21</v>
      </c>
      <c r="I172" t="str">
        <f>RTD("tos.rtd", , "MARKET_CAP", "UCAR")</f>
        <v>31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5.74</v>
      </c>
      <c r="D173">
        <f>RTD("tos.rtd", , "MARK_CHANGE", "KEEL")</f>
        <v>0</v>
      </c>
      <c r="E173" t="str">
        <f>RTD("tos.rtd", , "MARK_PERCENT_CHANGE", "KEEL")</f>
        <v>0.00%</v>
      </c>
      <c r="F173">
        <f>RTD("tos.rtd", , "VOLUME", "KEEL")</f>
        <v>39861</v>
      </c>
      <c r="G173">
        <f>RTD("tos.rtd", , "BID", "KEEL")</f>
        <v>5.7</v>
      </c>
      <c r="H173">
        <f>RTD("tos.rtd", , "ASK", "KEEL")</f>
        <v>5.74</v>
      </c>
      <c r="I173" t="str">
        <f>RTD("tos.rtd", , "MARKET_CAP", "KEEL")</f>
        <v>3,466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5</v>
      </c>
      <c r="D174">
        <f>RTD("tos.rtd", , "MARK_CHANGE", "ASTI")</f>
        <v>0</v>
      </c>
      <c r="E174" t="str">
        <f>RTD("tos.rtd", , "MARK_PERCENT_CHANGE", "ASTI")</f>
        <v>0.00%</v>
      </c>
      <c r="F174">
        <f>RTD("tos.rtd", , "VOLUME", "ASTI")</f>
        <v>957</v>
      </c>
      <c r="G174">
        <f>RTD("tos.rtd", , "BID", "ASTI")</f>
        <v>5</v>
      </c>
      <c r="H174">
        <f>RTD("tos.rtd", , "ASK", "ASTI")</f>
        <v>5.0999999999999996</v>
      </c>
      <c r="I174" t="str">
        <f>RTD("tos.rtd", , "MARKET_CAP", "ASTI")</f>
        <v>49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11.19</v>
      </c>
      <c r="D175">
        <f>RTD("tos.rtd", , "MARK_CHANGE", "REPL")</f>
        <v>0.12</v>
      </c>
      <c r="E175" t="str">
        <f>RTD("tos.rtd", , "MARK_PERCENT_CHANGE", "REPL")</f>
        <v>+1.08%</v>
      </c>
      <c r="F175">
        <f>RTD("tos.rtd", , "VOLUME", "REPL")</f>
        <v>527</v>
      </c>
      <c r="G175">
        <f>RTD("tos.rtd", , "BID", "REPL")</f>
        <v>11.19</v>
      </c>
      <c r="H175">
        <f>RTD("tos.rtd", , "ASK", "REPL")</f>
        <v>11.36</v>
      </c>
      <c r="I175" t="str">
        <f>RTD("tos.rtd", , "MARKET_CAP", "REPL")</f>
        <v>929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0.67300000000000004</v>
      </c>
      <c r="D176">
        <f>RTD("tos.rtd", , "MARK_CHANGE", "YCBD")</f>
        <v>0</v>
      </c>
      <c r="E176" t="str">
        <f>RTD("tos.rtd", , "MARK_PERCENT_CHANGE", "YCBD")</f>
        <v>0.00%</v>
      </c>
      <c r="F176">
        <f>RTD("tos.rtd", , "VOLUME", "YCBD")</f>
        <v>90</v>
      </c>
      <c r="G176">
        <f>RTD("tos.rtd", , "BID", "YCBD")</f>
        <v>0.6603</v>
      </c>
      <c r="H176">
        <f>RTD("tos.rtd", , "ASK", "YCBD")</f>
        <v>0.67300000000000004</v>
      </c>
      <c r="I176" t="str">
        <f>RTD("tos.rtd", , "MARKET_CAP", "YCBD")</f>
        <v>7.1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1.38</v>
      </c>
      <c r="D177">
        <f>RTD("tos.rtd", , "MARK_CHANGE", "ENVB")</f>
        <v>0</v>
      </c>
      <c r="E177" t="str">
        <f>RTD("tos.rtd", , "MARK_PERCENT_CHANGE", "ENVB")</f>
        <v>0.00%</v>
      </c>
      <c r="F177">
        <f>RTD("tos.rtd", , "VOLUME", "ENVB")</f>
        <v>135</v>
      </c>
      <c r="G177">
        <f>RTD("tos.rtd", , "BID", "ENVB")</f>
        <v>1.35</v>
      </c>
      <c r="H177">
        <f>RTD("tos.rtd", , "ASK", "ENVB")</f>
        <v>1.4</v>
      </c>
      <c r="I177" t="str">
        <f>RTD("tos.rtd", , "MARKET_CAP", "ENVB")</f>
        <v>5.6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2.31</v>
      </c>
      <c r="D178">
        <f>RTD("tos.rtd", , "MARK_CHANGE", "SST")</f>
        <v>0</v>
      </c>
      <c r="E178" t="str">
        <f>RTD("tos.rtd", , "MARK_PERCENT_CHANGE", "SST")</f>
        <v>0.00%</v>
      </c>
      <c r="F178">
        <f>RTD("tos.rtd", , "VOLUME", "SST")</f>
        <v>176</v>
      </c>
      <c r="G178">
        <f>RTD("tos.rtd", , "BID", "SST")</f>
        <v>2.2999999999999998</v>
      </c>
      <c r="H178">
        <f>RTD("tos.rtd", , "ASK", "SST")</f>
        <v>2.66</v>
      </c>
      <c r="I178" t="str">
        <f>RTD("tos.rtd", , "MARKET_CAP", "SST")</f>
        <v>19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1.9</v>
      </c>
      <c r="D179">
        <f>RTD("tos.rtd", , "MARK_CHANGE", "AIXI")</f>
        <v>0.06</v>
      </c>
      <c r="E179" t="str">
        <f>RTD("tos.rtd", , "MARK_PERCENT_CHANGE", "AIXI")</f>
        <v>+3.26%</v>
      </c>
      <c r="F179">
        <f>RTD("tos.rtd", , "VOLUME", "AIXI")</f>
        <v>108948</v>
      </c>
      <c r="G179">
        <f>RTD("tos.rtd", , "BID", "AIXI")</f>
        <v>1.9</v>
      </c>
      <c r="H179">
        <f>RTD("tos.rtd", , "ASK", "AIXI")</f>
        <v>1.92</v>
      </c>
      <c r="I179" t="str">
        <f>RTD("tos.rtd", , "MARKET_CAP", "AIXI")</f>
        <v>1.7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6.48</v>
      </c>
      <c r="D180">
        <f>RTD("tos.rtd", , "MARK_CHANGE", "CPIX")</f>
        <v>0</v>
      </c>
      <c r="E180" t="str">
        <f>RTD("tos.rtd", , "MARK_PERCENT_CHANGE", "CPIX")</f>
        <v>0.00%</v>
      </c>
      <c r="F180">
        <f>RTD("tos.rtd", , "VOLUME", "CPIX")</f>
        <v>4</v>
      </c>
      <c r="G180">
        <f>RTD("tos.rtd", , "BID", "CPIX")</f>
        <v>5.64</v>
      </c>
      <c r="H180">
        <f>RTD("tos.rtd", , "ASK", "CPIX")</f>
        <v>9.2799999999999994</v>
      </c>
      <c r="I180" t="str">
        <f>RTD("tos.rtd", , "MARKET_CAP", "CPIX")</f>
        <v>97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1.35</v>
      </c>
      <c r="D181">
        <f>RTD("tos.rtd", , "MARK_CHANGE", "AUUD")</f>
        <v>0</v>
      </c>
      <c r="E181" t="str">
        <f>RTD("tos.rtd", , "MARK_PERCENT_CHANGE", "AUUD")</f>
        <v>0.00%</v>
      </c>
      <c r="F181">
        <f>RTD("tos.rtd", , "VOLUME", "AUUD")</f>
        <v>16229</v>
      </c>
      <c r="G181">
        <f>RTD("tos.rtd", , "BID", "AUUD")</f>
        <v>1.29</v>
      </c>
      <c r="H181">
        <f>RTD("tos.rtd", , "ASK", "AUUD")</f>
        <v>1.35</v>
      </c>
      <c r="I181" t="str">
        <f>RTD("tos.rtd", , "MARKET_CAP", "AUUD")</f>
        <v>7.2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2.35</v>
      </c>
      <c r="D182">
        <f>RTD("tos.rtd", , "MARK_CHANGE", "IPST")</f>
        <v>0</v>
      </c>
      <c r="E182" t="str">
        <f>RTD("tos.rtd", , "MARK_PERCENT_CHANGE", "IPST")</f>
        <v>0.00%</v>
      </c>
      <c r="F182">
        <f>RTD("tos.rtd", , "VOLUME", "IPST")</f>
        <v>3</v>
      </c>
      <c r="G182">
        <f>RTD("tos.rtd", , "BID", "IPST")</f>
        <v>2.2999999999999998</v>
      </c>
      <c r="H182">
        <f>RTD("tos.rtd", , "ASK", "IPST")</f>
        <v>2.82</v>
      </c>
      <c r="I182" t="str">
        <f>RTD("tos.rtd", , "MARKET_CAP", "IPST")</f>
        <v>1.7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2.41</v>
      </c>
      <c r="D183">
        <f>RTD("tos.rtd", , "MARK_CHANGE", "NPT")</f>
        <v>0</v>
      </c>
      <c r="E183" t="str">
        <f>RTD("tos.rtd", , "MARK_PERCENT_CHANGE", "NPT")</f>
        <v>0.00%</v>
      </c>
      <c r="F183">
        <f>RTD("tos.rtd", , "VOLUME", "NPT")</f>
        <v>3299</v>
      </c>
      <c r="G183">
        <f>RTD("tos.rtd", , "BID", "NPT")</f>
        <v>2.36</v>
      </c>
      <c r="H183">
        <f>RTD("tos.rtd", , "ASK", "NPT")</f>
        <v>2.8</v>
      </c>
      <c r="I183" t="str">
        <f>RTD("tos.rtd", , "MARKET_CAP", "NPT")</f>
        <v>53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7.55</v>
      </c>
      <c r="D184">
        <f>RTD("tos.rtd", , "MARK_CHANGE", "AGPU")</f>
        <v>-0.03</v>
      </c>
      <c r="E184" t="str">
        <f>RTD("tos.rtd", , "MARK_PERCENT_CHANGE", "AGPU")</f>
        <v>-0.40%</v>
      </c>
      <c r="F184">
        <f>RTD("tos.rtd", , "VOLUME", "AGPU")</f>
        <v>106</v>
      </c>
      <c r="G184">
        <f>RTD("tos.rtd", , "BID", "AGPU")</f>
        <v>7.35</v>
      </c>
      <c r="H184">
        <f>RTD("tos.rtd", , "ASK", "AGPU")</f>
        <v>7.55</v>
      </c>
      <c r="I184" t="str">
        <f>RTD("tos.rtd", , "MARKET_CAP", "AGPU")</f>
        <v>82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8.2799999999999994</v>
      </c>
      <c r="D185">
        <f>RTD("tos.rtd", , "MARK_CHANGE", "NMAX")</f>
        <v>0</v>
      </c>
      <c r="E185" t="str">
        <f>RTD("tos.rtd", , "MARK_PERCENT_CHANGE", "NMAX")</f>
        <v>0.00%</v>
      </c>
      <c r="F185">
        <f>RTD("tos.rtd", , "VOLUME", "NMAX")</f>
        <v>1353</v>
      </c>
      <c r="G185">
        <f>RTD("tos.rtd", , "BID", "NMAX")</f>
        <v>7.9</v>
      </c>
      <c r="H185">
        <f>RTD("tos.rtd", , "ASK", "NMAX")</f>
        <v>8.75</v>
      </c>
      <c r="I185" t="str">
        <f>RTD("tos.rtd", , "MARKET_CAP", "NMAX")</f>
        <v>1,069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3.7</v>
      </c>
      <c r="D186">
        <f>RTD("tos.rtd", , "MARK_CHANGE", "LPL")</f>
        <v>-0.19</v>
      </c>
      <c r="E186" t="str">
        <f>RTD("tos.rtd", , "MARK_PERCENT_CHANGE", "LPL")</f>
        <v>-4.88%</v>
      </c>
      <c r="F186">
        <f>RTD("tos.rtd", , "VOLUME", "LPL")</f>
        <v>9481</v>
      </c>
      <c r="G186">
        <f>RTD("tos.rtd", , "BID", "LPL")</f>
        <v>3.69</v>
      </c>
      <c r="H186">
        <f>RTD("tos.rtd", , "ASK", "LPL")</f>
        <v>3.7</v>
      </c>
      <c r="I186" t="str">
        <f>RTD("tos.rtd", , "MARKET_CAP", "LPL")</f>
        <v>3,890 M</v>
      </c>
      <c r="J186" t="str">
        <f>RTD("tos.rtd", , "CUSTOM3", "LPL")</f>
        <v>loading</v>
      </c>
      <c r="K186" t="str">
        <f>RTD("tos.rtd", , "CUSTOM2", "LPL")</f>
        <v>loading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1.1599999999999999</v>
      </c>
      <c r="D187">
        <f>RTD("tos.rtd", , "MARK_CHANGE", "LRHC")</f>
        <v>0</v>
      </c>
      <c r="E187" t="str">
        <f>RTD("tos.rtd", , "MARK_PERCENT_CHANGE", "LRHC")</f>
        <v>0.00%</v>
      </c>
      <c r="F187">
        <f>RTD("tos.rtd", , "VOLUME", "LRHC")</f>
        <v>1168</v>
      </c>
      <c r="G187">
        <f>RTD("tos.rtd", , "BID", "LRHC")</f>
        <v>1.1100000000000001</v>
      </c>
      <c r="H187">
        <f>RTD("tos.rtd", , "ASK", "LRHC")</f>
        <v>1.19</v>
      </c>
      <c r="I187" t="str">
        <f>RTD("tos.rtd", , "MARKET_CAP", "LRHC")</f>
        <v>1.9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6.84</v>
      </c>
      <c r="D188">
        <f>RTD("tos.rtd", , "MARK_CHANGE", "KREF")</f>
        <v>0</v>
      </c>
      <c r="E188" t="str">
        <f>RTD("tos.rtd", , "MARK_PERCENT_CHANGE", "KREF")</f>
        <v>0.00%</v>
      </c>
      <c r="F188">
        <f>RTD("tos.rtd", , "VOLUME", "KREF")</f>
        <v>1280</v>
      </c>
      <c r="G188">
        <f>RTD("tos.rtd", , "BID", "KREF")</f>
        <v>5.97</v>
      </c>
      <c r="H188">
        <f>RTD("tos.rtd", , "ASK", "KREF")</f>
        <v>7.45</v>
      </c>
      <c r="I188" t="str">
        <f>RTD("tos.rtd", , "MARKET_CAP", "KREF")</f>
        <v>440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3.04</v>
      </c>
      <c r="D189">
        <f>RTD("tos.rtd", , "MARK_CHANGE", "ALT")</f>
        <v>0</v>
      </c>
      <c r="E189" t="str">
        <f>RTD("tos.rtd", , "MARK_PERCENT_CHANGE", "ALT")</f>
        <v>0.00%</v>
      </c>
      <c r="F189">
        <f>RTD("tos.rtd", , "VOLUME", "ALT")</f>
        <v>29</v>
      </c>
      <c r="G189">
        <f>RTD("tos.rtd", , "BID", "ALT")</f>
        <v>3</v>
      </c>
      <c r="H189">
        <f>RTD("tos.rtd", , "ASK", "ALT")</f>
        <v>3.09</v>
      </c>
      <c r="I189" t="str">
        <f>RTD("tos.rtd", , "MARKET_CAP", "ALT")</f>
        <v>591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1.66</v>
      </c>
      <c r="D190">
        <f>RTD("tos.rtd", , "MARK_CHANGE", "HUBC")</f>
        <v>-0.02</v>
      </c>
      <c r="E190" t="str">
        <f>RTD("tos.rtd", , "MARK_PERCENT_CHANGE", "HUBC")</f>
        <v>-1.19%</v>
      </c>
      <c r="F190">
        <f>RTD("tos.rtd", , "VOLUME", "HUBC")</f>
        <v>3131</v>
      </c>
      <c r="G190">
        <f>RTD("tos.rtd", , "BID", "HUBC")</f>
        <v>1.56</v>
      </c>
      <c r="H190">
        <f>RTD("tos.rtd", , "ASK", "HUBC")</f>
        <v>1.66</v>
      </c>
      <c r="I190" t="str">
        <f>RTD("tos.rtd", , "MARKET_CAP", "HUBC")</f>
        <v>5.6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1.52</v>
      </c>
      <c r="D193">
        <f>RTD("tos.rtd", , "MARK_CHANGE", "CLIK")</f>
        <v>0</v>
      </c>
      <c r="E193" t="str">
        <f>RTD("tos.rtd", , "MARK_PERCENT_CHANGE", "CLIK")</f>
        <v>0.00%</v>
      </c>
      <c r="F193">
        <f>RTD("tos.rtd", , "VOLUME", "CLIK")</f>
        <v>2566</v>
      </c>
      <c r="G193">
        <f>RTD("tos.rtd", , "BID", "CLIK")</f>
        <v>1.51</v>
      </c>
      <c r="H193">
        <f>RTD("tos.rtd", , "ASK", "CLIK")</f>
        <v>1.55</v>
      </c>
      <c r="I193" t="str">
        <f>RTD("tos.rtd", , "MARKET_CAP", "CLIK")</f>
        <v>5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1.1599999999999999</v>
      </c>
      <c r="D194">
        <f>RTD("tos.rtd", , "MARK_CHANGE", "ABTS")</f>
        <v>0</v>
      </c>
      <c r="E194" t="str">
        <f>RTD("tos.rtd", , "MARK_PERCENT_CHANGE", "ABTS")</f>
        <v>0.00%</v>
      </c>
      <c r="F194">
        <f>RTD("tos.rtd", , "VOLUME", "ABTS")</f>
        <v>71</v>
      </c>
      <c r="G194">
        <f>RTD("tos.rtd", , "BID", "ABTS")</f>
        <v>1.1000000000000001</v>
      </c>
      <c r="H194">
        <f>RTD("tos.rtd", , "ASK", "ABTS")</f>
        <v>1.24</v>
      </c>
      <c r="I194" t="str">
        <f>RTD("tos.rtd", , "MARKET_CAP", "ABTS")</f>
        <v>3.4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5.32</v>
      </c>
      <c r="D195">
        <f>RTD("tos.rtd", , "MARK_CHANGE", "FJET")</f>
        <v>0</v>
      </c>
      <c r="E195" t="str">
        <f>RTD("tos.rtd", , "MARK_PERCENT_CHANGE", "FJET")</f>
        <v>0.00%</v>
      </c>
      <c r="F195">
        <f>RTD("tos.rtd", , "VOLUME", "FJET")</f>
        <v>1204</v>
      </c>
      <c r="G195">
        <f>RTD("tos.rtd", , "BID", "FJET")</f>
        <v>5.2</v>
      </c>
      <c r="H195">
        <f>RTD("tos.rtd", , "ASK", "FJET")</f>
        <v>5.7</v>
      </c>
      <c r="I195" t="str">
        <f>RTD("tos.rtd", , "MARKET_CAP", "FJET")</f>
        <v>264 M</v>
      </c>
      <c r="J195" t="str">
        <f>RTD("tos.rtd", , "CUSTOM3", "FJET")</f>
        <v>loading</v>
      </c>
      <c r="K195" t="str">
        <f>RTD("tos.rtd", , "CUSTOM2", "FJET")</f>
        <v>loading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7.05</v>
      </c>
      <c r="D196">
        <f>RTD("tos.rtd", , "MARK_CHANGE", "ASAN")</f>
        <v>0.05</v>
      </c>
      <c r="E196" t="str">
        <f>RTD("tos.rtd", , "MARK_PERCENT_CHANGE", "ASAN")</f>
        <v>+0.71%</v>
      </c>
      <c r="F196">
        <f>RTD("tos.rtd", , "VOLUME", "ASAN")</f>
        <v>1347</v>
      </c>
      <c r="G196">
        <f>RTD("tos.rtd", , "BID", "ASAN")</f>
        <v>7.05</v>
      </c>
      <c r="H196">
        <f>RTD("tos.rtd", , "ASK", "ASAN")</f>
        <v>7.2</v>
      </c>
      <c r="I196" t="str">
        <f>RTD("tos.rtd", , "MARKET_CAP", "ASAN")</f>
        <v>1,614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1.1200000000000001</v>
      </c>
      <c r="D197">
        <f>RTD("tos.rtd", , "MARK_CHANGE", "PSRHF")</f>
        <v>0</v>
      </c>
      <c r="E197" t="str">
        <f>RTD("tos.rtd", , "MARK_PERCENT_CHANGE", "PSRHF")</f>
        <v>0.00%</v>
      </c>
      <c r="F197" t="str">
        <f>RTD("tos.rtd", , "VOLUME", "PSRHF")</f>
        <v>N/A</v>
      </c>
      <c r="G197">
        <f>RTD("tos.rtd", , "BID", "PSRHF")</f>
        <v>0.55000000000000004</v>
      </c>
      <c r="H197">
        <f>RTD("tos.rtd", , "ASK", "PSRHF")</f>
        <v>1.69</v>
      </c>
      <c r="I197" t="str">
        <f>RTD("tos.rtd", , "MARKET_CAP", "PSRHF")</f>
        <v>211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2.12</v>
      </c>
      <c r="D198">
        <f>RTD("tos.rtd", , "MARK_CHANGE", "IPW")</f>
        <v>-0.02</v>
      </c>
      <c r="E198" t="str">
        <f>RTD("tos.rtd", , "MARK_PERCENT_CHANGE", "IPW")</f>
        <v>-0.93%</v>
      </c>
      <c r="F198">
        <f>RTD("tos.rtd", , "VOLUME", "IPW")</f>
        <v>1891</v>
      </c>
      <c r="G198">
        <f>RTD("tos.rtd", , "BID", "IPW")</f>
        <v>2.09</v>
      </c>
      <c r="H198">
        <f>RTD("tos.rtd", , "ASK", "IPW")</f>
        <v>2.12</v>
      </c>
      <c r="I198" t="str">
        <f>RTD("tos.rtd", , "MARKET_CAP", "IPW")</f>
        <v>1.4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8.33</v>
      </c>
      <c r="D199">
        <f>RTD("tos.rtd", , "MARK_CHANGE", "JEM")</f>
        <v>4.3600000000000003</v>
      </c>
      <c r="E199" t="str">
        <f>RTD("tos.rtd", , "MARK_PERCENT_CHANGE", "JEM")</f>
        <v>+109.82%</v>
      </c>
      <c r="F199">
        <f>RTD("tos.rtd", , "VOLUME", "JEM")</f>
        <v>7181525</v>
      </c>
      <c r="G199">
        <f>RTD("tos.rtd", , "BID", "JEM")</f>
        <v>8.33</v>
      </c>
      <c r="H199">
        <f>RTD("tos.rtd", , "ASK", "JEM")</f>
        <v>8.3800000000000008</v>
      </c>
      <c r="I199" t="str">
        <f>RTD("tos.rtd", , "MARKET_CAP", "JEM")</f>
        <v>7.2 M</v>
      </c>
      <c r="J199" t="str">
        <f>RTD("tos.rtd", , "CUSTOM3", "JEM")</f>
        <v>loading</v>
      </c>
      <c r="K199">
        <f>RTD("tos.rtd", , "CUSTOM2", "JEM")</f>
        <v>57.57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17.399999999999999</v>
      </c>
      <c r="D200">
        <f>RTD("tos.rtd", , "MARK_CHANGE", "FTRE")</f>
        <v>0</v>
      </c>
      <c r="E200" t="str">
        <f>RTD("tos.rtd", , "MARK_PERCENT_CHANGE", "FTRE")</f>
        <v>0.00%</v>
      </c>
      <c r="F200" t="str">
        <f>RTD("tos.rtd", , "VOLUME", "FTRE")</f>
        <v>N/A</v>
      </c>
      <c r="G200">
        <f>RTD("tos.rtd", , "BID", "FTRE")</f>
        <v>17.2</v>
      </c>
      <c r="H200">
        <f>RTD("tos.rtd", , "ASK", "FTRE")</f>
        <v>17.52</v>
      </c>
      <c r="I200" t="str">
        <f>RTD("tos.rtd", , "MARKET_CAP", "FTRE")</f>
        <v>1,646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0.98499999999999999</v>
      </c>
      <c r="D201">
        <f>RTD("tos.rtd", , "MARK_CHANGE", "ELPW")</f>
        <v>0</v>
      </c>
      <c r="E201" t="str">
        <f>RTD("tos.rtd", , "MARK_PERCENT_CHANGE", "ELPW")</f>
        <v>0.00%</v>
      </c>
      <c r="F201">
        <f>RTD("tos.rtd", , "VOLUME", "ELPW")</f>
        <v>9708</v>
      </c>
      <c r="G201">
        <f>RTD("tos.rtd", , "BID", "ELPW")</f>
        <v>0.96</v>
      </c>
      <c r="H201">
        <f>RTD("tos.rtd", , "ASK", "ELPW")</f>
        <v>0.98950000000000005</v>
      </c>
      <c r="I201" t="str">
        <f>RTD("tos.rtd", , "MARKET_CAP", "ELPW")</f>
        <v>3.1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0.49059999999999998</v>
      </c>
      <c r="D202">
        <f>RTD("tos.rtd", , "MARK_CHANGE", "RMSG")</f>
        <v>0</v>
      </c>
      <c r="E202" t="str">
        <f>RTD("tos.rtd", , "MARK_PERCENT_CHANGE", "RMSG")</f>
        <v>0.00%</v>
      </c>
      <c r="F202">
        <f>RTD("tos.rtd", , "VOLUME", "RMSG")</f>
        <v>3140</v>
      </c>
      <c r="G202">
        <f>RTD("tos.rtd", , "BID", "RMSG")</f>
        <v>0.47099999999999997</v>
      </c>
      <c r="H202">
        <f>RTD("tos.rtd", , "ASK", "RMSG")</f>
        <v>0.52500000000000002</v>
      </c>
      <c r="I202" t="str">
        <f>RTD("tos.rtd", , "MARKET_CAP", "RMSG")</f>
        <v>7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10.119999999999999</v>
      </c>
      <c r="D203">
        <f>RTD("tos.rtd", , "MARK_CHANGE", "FRSH")</f>
        <v>0</v>
      </c>
      <c r="E203" t="str">
        <f>RTD("tos.rtd", , "MARK_PERCENT_CHANGE", "FRSH")</f>
        <v>0.00%</v>
      </c>
      <c r="F203">
        <f>RTD("tos.rtd", , "VOLUME", "FRSH")</f>
        <v>6390</v>
      </c>
      <c r="G203">
        <f>RTD("tos.rtd", , "BID", "FRSH")</f>
        <v>10</v>
      </c>
      <c r="H203">
        <f>RTD("tos.rtd", , "ASK", "FRSH")</f>
        <v>10.25</v>
      </c>
      <c r="I203" t="str">
        <f>RTD("tos.rtd", , "MARKET_CAP", "FRSH")</f>
        <v>2,798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0.87</v>
      </c>
      <c r="D204">
        <f>RTD("tos.rtd", , "MARK_CHANGE", "WBUY")</f>
        <v>0</v>
      </c>
      <c r="E204" t="str">
        <f>RTD("tos.rtd", , "MARK_PERCENT_CHANGE", "WBUY")</f>
        <v>0.00%</v>
      </c>
      <c r="F204" t="str">
        <f>RTD("tos.rtd", , "VOLUME", "WBUY")</f>
        <v>N/A</v>
      </c>
      <c r="G204">
        <f>RTD("tos.rtd", , "BID", "WBUY")</f>
        <v>0.75</v>
      </c>
      <c r="H204">
        <f>RTD("tos.rtd", , "ASK", "WBUY")</f>
        <v>0.9002</v>
      </c>
      <c r="I204" t="str">
        <f>RTD("tos.rtd", , "MARKET_CAP", "WBUY")</f>
        <v>4.8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5.16</v>
      </c>
      <c r="D206">
        <f>RTD("tos.rtd", , "MARK_CHANGE", "CXM")</f>
        <v>0</v>
      </c>
      <c r="E206" t="str">
        <f>RTD("tos.rtd", , "MARK_PERCENT_CHANGE", "CXM")</f>
        <v>0.00%</v>
      </c>
      <c r="F206">
        <f>RTD("tos.rtd", , "VOLUME", "CXM")</f>
        <v>784</v>
      </c>
      <c r="G206">
        <f>RTD("tos.rtd", , "BID", "CXM")</f>
        <v>4.8</v>
      </c>
      <c r="H206">
        <f>RTD("tos.rtd", , "ASK", "CXM")</f>
        <v>5.5</v>
      </c>
      <c r="I206" t="str">
        <f>RTD("tos.rtd", , "MARKET_CAP", "CXM")</f>
        <v>1,209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8.91</v>
      </c>
      <c r="D207">
        <f>RTD("tos.rtd", , "MARK_CHANGE", "KYTX")</f>
        <v>0</v>
      </c>
      <c r="E207" t="str">
        <f>RTD("tos.rtd", , "MARK_PERCENT_CHANGE", "KYTX")</f>
        <v>0.00%</v>
      </c>
      <c r="F207">
        <f>RTD("tos.rtd", , "VOLUME", "KYTX")</f>
        <v>90</v>
      </c>
      <c r="G207">
        <f>RTD("tos.rtd", , "BID", "KYTX")</f>
        <v>8.91</v>
      </c>
      <c r="H207">
        <f>RTD("tos.rtd", , "ASK", "KYTX")</f>
        <v>9.01</v>
      </c>
      <c r="I207" t="str">
        <f>RTD("tos.rtd", , "MARKET_CAP", "KYTX")</f>
        <v>542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1.61</v>
      </c>
      <c r="D208">
        <f>RTD("tos.rtd", , "MARK_CHANGE", "TRON")</f>
        <v>0</v>
      </c>
      <c r="E208" t="str">
        <f>RTD("tos.rtd", , "MARK_PERCENT_CHANGE", "TRON")</f>
        <v>0.00%</v>
      </c>
      <c r="F208">
        <f>RTD("tos.rtd", , "VOLUME", "TRON")</f>
        <v>811</v>
      </c>
      <c r="G208">
        <f>RTD("tos.rtd", , "BID", "TRON")</f>
        <v>1.61</v>
      </c>
      <c r="H208">
        <f>RTD("tos.rtd", , "ASK", "TRON")</f>
        <v>1.62</v>
      </c>
      <c r="I208" t="str">
        <f>RTD("tos.rtd", , "MARKET_CAP", "TRON")</f>
        <v>764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2.93</v>
      </c>
      <c r="D209">
        <f>RTD("tos.rtd", , "MARK_CHANGE", "GTM")</f>
        <v>0</v>
      </c>
      <c r="E209" t="str">
        <f>RTD("tos.rtd", , "MARK_PERCENT_CHANGE", "GTM")</f>
        <v>0.00%</v>
      </c>
      <c r="F209">
        <f>RTD("tos.rtd", , "VOLUME", "GTM")</f>
        <v>6349</v>
      </c>
      <c r="G209">
        <f>RTD("tos.rtd", , "BID", "GTM")</f>
        <v>2.87</v>
      </c>
      <c r="H209">
        <f>RTD("tos.rtd", , "ASK", "GTM")</f>
        <v>2.96</v>
      </c>
      <c r="I209" t="str">
        <f>RTD("tos.rtd", , "MARKET_CAP", "GTM")</f>
        <v>864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A</v>
      </c>
      <c r="C210">
        <f>RTD("tos.rtd", , "MARK", "PATH")</f>
        <v>10.97</v>
      </c>
      <c r="D210">
        <f>RTD("tos.rtd", , "MARK_CHANGE", "PATH")</f>
        <v>0.1</v>
      </c>
      <c r="E210" t="str">
        <f>RTD("tos.rtd", , "MARK_PERCENT_CHANGE", "PATH")</f>
        <v>+0.92%</v>
      </c>
      <c r="F210">
        <f>RTD("tos.rtd", , "VOLUME", "PATH")</f>
        <v>40021</v>
      </c>
      <c r="G210">
        <f>RTD("tos.rtd", , "BID", "PATH")</f>
        <v>10.97</v>
      </c>
      <c r="H210">
        <f>RTD("tos.rtd", , "ASK", "PATH")</f>
        <v>10.98</v>
      </c>
      <c r="I210" t="str">
        <f>RTD("tos.rtd", , "MARKET_CAP", "PATH")</f>
        <v>5,632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9.9</v>
      </c>
      <c r="D211">
        <f>RTD("tos.rtd", , "MARK_CHANGE", "AVTR")</f>
        <v>0</v>
      </c>
      <c r="E211" t="str">
        <f>RTD("tos.rtd", , "MARK_PERCENT_CHANGE", "AVTR")</f>
        <v>0.00%</v>
      </c>
      <c r="F211">
        <f>RTD("tos.rtd", , "VOLUME", "AVTR")</f>
        <v>27</v>
      </c>
      <c r="G211">
        <f>RTD("tos.rtd", , "BID", "AVTR")</f>
        <v>9.7100000000000009</v>
      </c>
      <c r="H211">
        <f>RTD("tos.rtd", , "ASK", "AVTR")</f>
        <v>10.029999999999999</v>
      </c>
      <c r="I211" t="str">
        <f>RTD("tos.rtd", , "MARKET_CAP", "AVTR")</f>
        <v>6,759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1.2</v>
      </c>
      <c r="D212">
        <f>RTD("tos.rtd", , "MARK_CHANGE", "NNOX")</f>
        <v>0.04</v>
      </c>
      <c r="E212" t="str">
        <f>RTD("tos.rtd", , "MARK_PERCENT_CHANGE", "NNOX")</f>
        <v>+3.45%</v>
      </c>
      <c r="F212">
        <f>RTD("tos.rtd", , "VOLUME", "NNOX")</f>
        <v>15560</v>
      </c>
      <c r="G212">
        <f>RTD("tos.rtd", , "BID", "NNOX")</f>
        <v>1.2</v>
      </c>
      <c r="H212">
        <f>RTD("tos.rtd", , "ASK", "NNOX")</f>
        <v>1.3</v>
      </c>
      <c r="I212" t="str">
        <f>RTD("tos.rtd", , "MARKET_CAP", "NNOX")</f>
        <v>81 M</v>
      </c>
      <c r="J212" t="str">
        <f>RTD("tos.rtd", , "CUSTOM3", "NNOX")</f>
        <v>loading</v>
      </c>
      <c r="K212" t="str">
        <f>RTD("tos.rtd", , "CUSTOM2", "NNOX")</f>
        <v>loading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3.06</v>
      </c>
      <c r="D213">
        <f>RTD("tos.rtd", , "MARK_CHANGE", "PBM")</f>
        <v>0</v>
      </c>
      <c r="E213" t="str">
        <f>RTD("tos.rtd", , "MARK_PERCENT_CHANGE", "PBM")</f>
        <v>0.00%</v>
      </c>
      <c r="F213">
        <f>RTD("tos.rtd", , "VOLUME", "PBM")</f>
        <v>895</v>
      </c>
      <c r="G213">
        <f>RTD("tos.rtd", , "BID", "PBM")</f>
        <v>3</v>
      </c>
      <c r="H213">
        <f>RTD("tos.rtd", , "ASK", "PBM")</f>
        <v>3.15</v>
      </c>
      <c r="I213" t="str">
        <f>RTD("tos.rtd", , "MARKET_CAP", "PBM")</f>
        <v>12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0.75639999999999996</v>
      </c>
      <c r="D214">
        <f>RTD("tos.rtd", , "MARK_CHANGE", "BYND")</f>
        <v>6.4000000000000003E-3</v>
      </c>
      <c r="E214" t="str">
        <f>RTD("tos.rtd", , "MARK_PERCENT_CHANGE", "BYND")</f>
        <v>+0.85%</v>
      </c>
      <c r="F214">
        <f>RTD("tos.rtd", , "VOLUME", "BYND")</f>
        <v>97351</v>
      </c>
      <c r="G214">
        <f>RTD("tos.rtd", , "BID", "BYND")</f>
        <v>0.75639999999999996</v>
      </c>
      <c r="H214">
        <f>RTD("tos.rtd", , "ASK", "BYND")</f>
        <v>0.75890000000000002</v>
      </c>
      <c r="I214" t="str">
        <f>RTD("tos.rtd", , "MARKET_CAP", "BYND")</f>
        <v>387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1.65</v>
      </c>
      <c r="D215">
        <f>RTD("tos.rtd", , "MARK_CHANGE", "WLDS")</f>
        <v>0</v>
      </c>
      <c r="E215" t="str">
        <f>RTD("tos.rtd", , "MARK_PERCENT_CHANGE", "WLDS")</f>
        <v>0.00%</v>
      </c>
      <c r="F215">
        <f>RTD("tos.rtd", , "VOLUME", "WLDS")</f>
        <v>259</v>
      </c>
      <c r="G215">
        <f>RTD("tos.rtd", , "BID", "WLDS")</f>
        <v>1.63</v>
      </c>
      <c r="H215">
        <f>RTD("tos.rtd", , "ASK", "WLDS")</f>
        <v>1.7</v>
      </c>
      <c r="I215" t="str">
        <f>RTD("tos.rtd", , "MARKET_CAP", "WLDS")</f>
        <v>3.6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A</v>
      </c>
      <c r="C216">
        <f>RTD("tos.rtd", , "MARK", "PAVS")</f>
        <v>6.59</v>
      </c>
      <c r="D216">
        <f>RTD("tos.rtd", , "MARK_CHANGE", "PAVS")</f>
        <v>-0.84</v>
      </c>
      <c r="E216" t="str">
        <f>RTD("tos.rtd", , "MARK_PERCENT_CHANGE", "PAVS")</f>
        <v>-11.31%</v>
      </c>
      <c r="F216">
        <f>RTD("tos.rtd", , "VOLUME", "PAVS")</f>
        <v>65442</v>
      </c>
      <c r="G216">
        <f>RTD("tos.rtd", , "BID", "PAVS")</f>
        <v>6.26</v>
      </c>
      <c r="H216">
        <f>RTD("tos.rtd", , "ASK", "PAVS")</f>
        <v>6.59</v>
      </c>
      <c r="I216" t="str">
        <f>RTD("tos.rtd", , "MARKET_CAP", "PAVS")</f>
        <v>3.7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7.7</v>
      </c>
      <c r="D217">
        <f>RTD("tos.rtd", , "MARK_CHANGE", "GSIT")</f>
        <v>-0.03</v>
      </c>
      <c r="E217" t="str">
        <f>RTD("tos.rtd", , "MARK_PERCENT_CHANGE", "GSIT")</f>
        <v>-0.39%</v>
      </c>
      <c r="F217">
        <f>RTD("tos.rtd", , "VOLUME", "GSIT")</f>
        <v>6702</v>
      </c>
      <c r="G217">
        <f>RTD("tos.rtd", , "BID", "GSIT")</f>
        <v>7.65</v>
      </c>
      <c r="H217">
        <f>RTD("tos.rtd", , "ASK", "GSIT")</f>
        <v>7.7</v>
      </c>
      <c r="I217" t="str">
        <f>RTD("tos.rtd", , "MARKET_CAP", "GSIT")</f>
        <v>296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1.38</v>
      </c>
      <c r="D218">
        <f>RTD("tos.rtd", , "MARK_CHANGE", "BZAI")</f>
        <v>0</v>
      </c>
      <c r="E218" t="str">
        <f>RTD("tos.rtd", , "MARK_PERCENT_CHANGE", "BZAI")</f>
        <v>0.00%</v>
      </c>
      <c r="F218">
        <f>RTD("tos.rtd", , "VOLUME", "BZAI")</f>
        <v>17089</v>
      </c>
      <c r="G218">
        <f>RTD("tos.rtd", , "BID", "BZAI")</f>
        <v>1.37</v>
      </c>
      <c r="H218">
        <f>RTD("tos.rtd", , "ASK", "BZAI")</f>
        <v>1.38</v>
      </c>
      <c r="I218" t="str">
        <f>RTD("tos.rtd", , "MARKET_CAP", "BZAI")</f>
        <v>196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7.59</v>
      </c>
      <c r="D219">
        <f>RTD("tos.rtd", , "MARK_CHANGE", "SPT")</f>
        <v>0.04</v>
      </c>
      <c r="E219" t="str">
        <f>RTD("tos.rtd", , "MARK_PERCENT_CHANGE", "SPT")</f>
        <v>+0.53%</v>
      </c>
      <c r="F219">
        <f>RTD("tos.rtd", , "VOLUME", "SPT")</f>
        <v>308</v>
      </c>
      <c r="G219">
        <f>RTD("tos.rtd", , "BID", "SPT")</f>
        <v>7.59</v>
      </c>
      <c r="H219">
        <f>RTD("tos.rtd", , "ASK", "SPT")</f>
        <v>8</v>
      </c>
      <c r="I219" t="str">
        <f>RTD("tos.rtd", , "MARKET_CAP", "SPT")</f>
        <v>454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5.99</v>
      </c>
      <c r="D220">
        <f>RTD("tos.rtd", , "MARK_CHANGE", "WEAV")</f>
        <v>0</v>
      </c>
      <c r="E220" t="str">
        <f>RTD("tos.rtd", , "MARK_PERCENT_CHANGE", "WEAV")</f>
        <v>0.00%</v>
      </c>
      <c r="F220">
        <f>RTD("tos.rtd", , "VOLUME", "WEAV")</f>
        <v>343</v>
      </c>
      <c r="G220">
        <f>RTD("tos.rtd", , "BID", "WEAV")</f>
        <v>4.4000000000000004</v>
      </c>
      <c r="H220">
        <f>RTD("tos.rtd", , "ASK", "WEAV")</f>
        <v>6.7</v>
      </c>
      <c r="I220" t="str">
        <f>RTD("tos.rtd", , "MARKET_CAP", "WEAV")</f>
        <v>477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3</v>
      </c>
      <c r="D221">
        <f>RTD("tos.rtd", , "MARK_CHANGE", "EEIQ")</f>
        <v>-0.03</v>
      </c>
      <c r="E221" t="str">
        <f>RTD("tos.rtd", , "MARK_PERCENT_CHANGE", "EEIQ")</f>
        <v>-0.99%</v>
      </c>
      <c r="F221">
        <f>RTD("tos.rtd", , "VOLUME", "EEIQ")</f>
        <v>12275</v>
      </c>
      <c r="G221">
        <f>RTD("tos.rtd", , "BID", "EEIQ")</f>
        <v>2.71</v>
      </c>
      <c r="H221">
        <f>RTD("tos.rtd", , "ASK", "EEIQ")</f>
        <v>3</v>
      </c>
      <c r="I221" t="str">
        <f>RTD("tos.rtd", , "MARKET_CAP", "EEIQ")</f>
        <v>5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2.79</v>
      </c>
      <c r="D222">
        <f>RTD("tos.rtd", , "MARK_CHANGE", "ACB")</f>
        <v>0</v>
      </c>
      <c r="E222" t="str">
        <f>RTD("tos.rtd", , "MARK_PERCENT_CHANGE", "ACB")</f>
        <v>0.00%</v>
      </c>
      <c r="F222" t="str">
        <f>RTD("tos.rtd", , "VOLUME", "ACB")</f>
        <v>N/A</v>
      </c>
      <c r="G222">
        <f>RTD("tos.rtd", , "BID", "ACB")</f>
        <v>2.7</v>
      </c>
      <c r="H222">
        <f>RTD("tos.rtd", , "ASK", "ACB")</f>
        <v>2.81</v>
      </c>
      <c r="I222" t="str">
        <f>RTD("tos.rtd", , "MARKET_CAP", "ACB")</f>
        <v>173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2.81</v>
      </c>
      <c r="D223">
        <f>RTD("tos.rtd", , "MARK_CHANGE", "SIDU")</f>
        <v>0</v>
      </c>
      <c r="E223" t="str">
        <f>RTD("tos.rtd", , "MARK_PERCENT_CHANGE", "SIDU")</f>
        <v>0.00%</v>
      </c>
      <c r="F223">
        <f>RTD("tos.rtd", , "VOLUME", "SIDU")</f>
        <v>38226</v>
      </c>
      <c r="G223">
        <f>RTD("tos.rtd", , "BID", "SIDU")</f>
        <v>2.8</v>
      </c>
      <c r="H223">
        <f>RTD("tos.rtd", , "ASK", "SIDU")</f>
        <v>2.81</v>
      </c>
      <c r="I223" t="str">
        <f>RTD("tos.rtd", , "MARKET_CAP", "SIDU")</f>
        <v>274 M</v>
      </c>
      <c r="J223" t="str">
        <f>RTD("tos.rtd", , "CUSTOM3", "SIDU")</f>
        <v>loading</v>
      </c>
      <c r="K223" t="str">
        <f>RTD("tos.rtd", , "CUSTOM2", "SIDU")</f>
        <v>loading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11</v>
      </c>
      <c r="D224">
        <f>RTD("tos.rtd", , "MARK_CHANGE", "NTSK")</f>
        <v>0.06</v>
      </c>
      <c r="E224" t="str">
        <f>RTD("tos.rtd", , "MARK_PERCENT_CHANGE", "NTSK")</f>
        <v>+0.55%</v>
      </c>
      <c r="F224">
        <f>RTD("tos.rtd", , "VOLUME", "NTSK")</f>
        <v>2674</v>
      </c>
      <c r="G224">
        <f>RTD("tos.rtd", , "BID", "NTSK")</f>
        <v>11</v>
      </c>
      <c r="H224">
        <f>RTD("tos.rtd", , "ASK", "NTSK")</f>
        <v>11.41</v>
      </c>
      <c r="I224" t="str">
        <f>RTD("tos.rtd", , "MARKET_CAP", "NTSK")</f>
        <v>4,419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3.94</v>
      </c>
      <c r="D225">
        <f>RTD("tos.rtd", , "MARK_CHANGE", "ELDN")</f>
        <v>0</v>
      </c>
      <c r="E225" t="str">
        <f>RTD("tos.rtd", , "MARK_PERCENT_CHANGE", "ELDN")</f>
        <v>0.00%</v>
      </c>
      <c r="F225">
        <f>RTD("tos.rtd", , "VOLUME", "ELDN")</f>
        <v>279</v>
      </c>
      <c r="G225">
        <f>RTD("tos.rtd", , "BID", "ELDN")</f>
        <v>3.92</v>
      </c>
      <c r="H225">
        <f>RTD("tos.rtd", , "ASK", "ELDN")</f>
        <v>4.1900000000000004</v>
      </c>
      <c r="I225" t="str">
        <f>RTD("tos.rtd", , "MARKET_CAP", "ELDN")</f>
        <v>304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1.68</v>
      </c>
      <c r="D226">
        <f>RTD("tos.rtd", , "MARK_CHANGE", "PACB")</f>
        <v>0</v>
      </c>
      <c r="E226" t="str">
        <f>RTD("tos.rtd", , "MARK_PERCENT_CHANGE", "PACB")</f>
        <v>0.00%</v>
      </c>
      <c r="F226">
        <f>RTD("tos.rtd", , "VOLUME", "PACB")</f>
        <v>3956</v>
      </c>
      <c r="G226">
        <f>RTD("tos.rtd", , "BID", "PACB")</f>
        <v>1.6</v>
      </c>
      <c r="H226">
        <f>RTD("tos.rtd", , "ASK", "PACB")</f>
        <v>1.7</v>
      </c>
      <c r="I226" t="str">
        <f>RTD("tos.rtd", , "MARKET_CAP", "PACB")</f>
        <v>522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3.13</v>
      </c>
      <c r="D227">
        <f>RTD("tos.rtd", , "MARK_CHANGE", "DOMO")</f>
        <v>0</v>
      </c>
      <c r="E227" t="str">
        <f>RTD("tos.rtd", , "MARK_PERCENT_CHANGE", "DOMO")</f>
        <v>0.00%</v>
      </c>
      <c r="F227">
        <f>RTD("tos.rtd", , "VOLUME", "DOMO")</f>
        <v>5724</v>
      </c>
      <c r="G227">
        <f>RTD("tos.rtd", , "BID", "DOMO")</f>
        <v>3.12</v>
      </c>
      <c r="H227">
        <f>RTD("tos.rtd", , "ASK", "DOMO")</f>
        <v>3.2</v>
      </c>
      <c r="I227" t="str">
        <f>RTD("tos.rtd", , "MARKET_CAP", "DOMO")</f>
        <v>141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1.55</v>
      </c>
      <c r="D228">
        <f>RTD("tos.rtd", , "MARK_CHANGE", "ACXP")</f>
        <v>0</v>
      </c>
      <c r="E228" t="str">
        <f>RTD("tos.rtd", , "MARK_PERCENT_CHANGE", "ACXP")</f>
        <v>0.00%</v>
      </c>
      <c r="F228">
        <f>RTD("tos.rtd", , "VOLUME", "ACXP")</f>
        <v>7</v>
      </c>
      <c r="G228">
        <f>RTD("tos.rtd", , "BID", "ACXP")</f>
        <v>1.52</v>
      </c>
      <c r="H228">
        <f>RTD("tos.rtd", , "ASK", "ACXP")</f>
        <v>1.8</v>
      </c>
      <c r="I228" t="str">
        <f>RTD("tos.rtd", , "MARKET_CAP", "ACXP")</f>
        <v>6.7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0.81200000000000006</v>
      </c>
      <c r="D229">
        <f>RTD("tos.rtd", , "MARK_CHANGE", "BIAF")</f>
        <v>0</v>
      </c>
      <c r="E229" t="str">
        <f>RTD("tos.rtd", , "MARK_PERCENT_CHANGE", "BIAF")</f>
        <v>0.00%</v>
      </c>
      <c r="F229">
        <f>RTD("tos.rtd", , "VOLUME", "BIAF")</f>
        <v>3753</v>
      </c>
      <c r="G229">
        <f>RTD("tos.rtd", , "BID", "BIAF")</f>
        <v>0.81189999999999996</v>
      </c>
      <c r="H229">
        <f>RTD("tos.rtd", , "ASK", "BIAF")</f>
        <v>0.83</v>
      </c>
      <c r="I229" t="str">
        <f>RTD("tos.rtd", , "MARKET_CAP", "BIAF")</f>
        <v>5.1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2.2650000000000001</v>
      </c>
      <c r="D230">
        <f>RTD("tos.rtd", , "MARK_CHANGE", "HTZ")</f>
        <v>0</v>
      </c>
      <c r="E230" t="str">
        <f>RTD("tos.rtd", , "MARK_PERCENT_CHANGE", "HTZ")</f>
        <v>0.00%</v>
      </c>
      <c r="F230">
        <f>RTD("tos.rtd", , "VOLUME", "HTZ")</f>
        <v>18232</v>
      </c>
      <c r="G230">
        <f>RTD("tos.rtd", , "BID", "HTZ")</f>
        <v>2.2200000000000002</v>
      </c>
      <c r="H230">
        <f>RTD("tos.rtd", , "ASK", "HTZ")</f>
        <v>2.27</v>
      </c>
      <c r="I230" t="str">
        <f>RTD("tos.rtd", , "MARKET_CAP", "HTZ")</f>
        <v>715 M</v>
      </c>
      <c r="J230" t="str">
        <f>RTD("tos.rtd", , "CUSTOM3", "HTZ")</f>
        <v>loading</v>
      </c>
      <c r="K230">
        <f>RTD("tos.rtd", , "CUSTOM2", "HTZ")</f>
        <v>29.33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9.75</v>
      </c>
      <c r="D231">
        <f>RTD("tos.rtd", , "MARK_CHANGE", "PD")</f>
        <v>0.1</v>
      </c>
      <c r="E231" t="str">
        <f>RTD("tos.rtd", , "MARK_PERCENT_CHANGE", "PD")</f>
        <v>+1.04%</v>
      </c>
      <c r="F231">
        <f>RTD("tos.rtd", , "VOLUME", "PD")</f>
        <v>2121</v>
      </c>
      <c r="G231">
        <f>RTD("tos.rtd", , "BID", "PD")</f>
        <v>9.75</v>
      </c>
      <c r="H231">
        <f>RTD("tos.rtd", , "ASK", "PD")</f>
        <v>9.8000000000000007</v>
      </c>
      <c r="I231" t="str">
        <f>RTD("tos.rtd", , "MARKET_CAP", "PD")</f>
        <v>744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1.1599999999999999</v>
      </c>
      <c r="D232">
        <f>RTD("tos.rtd", , "MARK_CHANGE", "SRFM")</f>
        <v>0</v>
      </c>
      <c r="E232" t="str">
        <f>RTD("tos.rtd", , "MARK_PERCENT_CHANGE", "SRFM")</f>
        <v>0.00%</v>
      </c>
      <c r="F232">
        <f>RTD("tos.rtd", , "VOLUME", "SRFM")</f>
        <v>320904</v>
      </c>
      <c r="G232">
        <f>RTD("tos.rtd", , "BID", "SRFM")</f>
        <v>1.1499999999999999</v>
      </c>
      <c r="H232">
        <f>RTD("tos.rtd", , "ASK", "SRFM")</f>
        <v>1.1599999999999999</v>
      </c>
      <c r="I232" t="str">
        <f>RTD("tos.rtd", , "MARKET_CAP", "SRFM")</f>
        <v>129 M</v>
      </c>
      <c r="J232" t="str">
        <f>RTD("tos.rtd", , "CUSTOM3", "SRFM")</f>
        <v>loading</v>
      </c>
      <c r="K232" t="str">
        <f>RTD("tos.rtd", , "CUSTOM2", "SRFM")</f>
        <v>loading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2026-07-01T10:38:03Z</dcterms:modified>
</cp:coreProperties>
</file>