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0CB1A8F9-DD8A-4CF0-B6BD-A1CEF4501269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<sst xmlns="http://schemas.openxmlformats.org/spreadsheetml/2006/main" count="313" uniqueCount="256">
  <si>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</si>
  <si>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</si>
  <si>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</si>
  <si>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</si>
  <si>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</si>
  <si>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</si>
  <si>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</si>
  <si>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</si>
  <si>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</si>
  <si>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</si>
  <si>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</si>
  <si>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</si>
  <si>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</si>
  <si>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</si>
  <si>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</si>
  <si>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</si>
  <si>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</si>
  <si>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</si>
  <si>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</si>
  <si>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</si>
  <si>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</si>
  <si>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</si>
  <si>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</si>
  <si>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</si>
  <si>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</si>
  <si>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</si>
  <si>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</si>
  <si>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</si>
  <si>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</si>
  <si>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</si>
  <si>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</si>
  <si>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</si>
  <si>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</si>
  <si>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</si>
  <si>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</si>
  <si>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</si>
  <si>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</si>
  <si>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</si>
  <si>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</si>
  <si>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</si>
  <si>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</si>
  <si>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</si>
  <si>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</si>
  <si>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</si>
  <si>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</si>
  <si>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</si>
  <si>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</si>
  <si>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</si>
  <si>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</si>
  <si>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</si>
  <si>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</si>
  <si>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</si>
  <si>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</si>
  <si>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</si>
  <si>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</si>
  <si>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</si>
  <si>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</si>
  <si>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</si>
  <si>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</si>
  <si>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</si>
  <si>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</si>
  <si>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</si>
  <si>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</si>
  <si>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</si>
  <si>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</si>
  <si>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</si>
  <si>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</si>
  <si>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</si>
  <si>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</si>
  <si>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</si>
  <si>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</si>
  <si>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</si>
  <si>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</si>
  <si>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</si>
  <si>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</si>
  <si>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</si>
  <si>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</si>
  <si>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</si>
  <si>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</si>
  <si>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</si>
  <si>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</si>
  <si>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</si>
  <si>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</si>
  <si>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</si>
  <si>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</si>
  <si>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</si>
  <si>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</si>
  <si>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</si>
  <si>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</si>
  <si>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</si>
  <si>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</si>
  <si>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</si>
  <si>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</si>
  <si>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</si>
  <si>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</si>
  <si>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</si>
  <si>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</si>
  <si>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</si>
  <si>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</si>
  <si>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</si>
  <si>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</si>
  <si>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</si>
  <si>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</si>
  <si>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</si>
  <si>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</si>
  <si>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</si>
  <si>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</si>
  <si>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</si>
  <si>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</si>
  <si>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</si>
  <si>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</si>
  <si>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</si>
  <si>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</si>
  <si>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</si>
  <si>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</si>
  <si>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</si>
  <si>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</si>
  <si>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</si>
  <si>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</si>
  <si>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</si>
  <si>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</si>
  <si>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</si>
  <si>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</si>
  <si>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</si>
  <si>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</si>
  <si>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</si>
  <si>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</si>
  <si>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</si>
  <si>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</si>
  <si>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</si>
  <si>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</si>
  <si>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</si>
  <si>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</si>
  <si>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</si>
  <si>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</si>
  <si>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</si>
  <si>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</si>
  <si>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</si>
  <si>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</si>
  <si>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</si>
  <si>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</si>
  <si>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</si>
  <si>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</si>
  <si>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</si>
  <si>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</si>
  <si>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</si>
  <si>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</si>
  <si>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</si>
  <si>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</si>
  <si>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</si>
  <si>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</si>
  <si>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</si>
  <si>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</si>
  <si>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</si>
  <si>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</si>
  <si>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</si>
  <si>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</si>
  <si>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</si>
  <si>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</si>
  <si>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</si>
  <si>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</si>
  <si>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</si>
  <si>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</si>
  <si>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</si>
  <si>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</si>
  <si>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</si>
  <si>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</si>
  <si>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</si>
  <si>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</si>
  <si>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</si>
  <si>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</si>
  <si>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</si>
  <si>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</si>
  <si>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</si>
  <si>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</si>
  <si>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</si>
  <si>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</si>
  <si>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</si>
  <si>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</si>
  <si>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</si>
  <si>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</si>
  <si>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</si>
  <si>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</si>
  <si>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</si>
  <si>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</si>
  <si>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</si>
  <si>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</si>
  <si>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</si>
  <si>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</si>
  <si>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</si>
  <si>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</si>
  <si>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</si>
  <si>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QUCY</t>
  </si>
  <si>
    <t>AIIO</t>
  </si>
  <si>
    <t>PHGE</t>
  </si>
  <si>
    <t>RCAT</t>
  </si>
  <si>
    <t>RKLB</t>
  </si>
  <si>
    <t>NFE</t>
  </si>
  <si>
    <t>LRMR</t>
  </si>
  <si>
    <t>ONDS</t>
  </si>
  <si>
    <t>NNBR</t>
  </si>
  <si>
    <t>UPC</t>
  </si>
  <si>
    <t>TNMG</t>
  </si>
  <si>
    <t>DCOY</t>
  </si>
  <si>
    <t>PETS</t>
  </si>
  <si>
    <t>SAGT</t>
  </si>
  <si>
    <t>LBRDK</t>
  </si>
  <si>
    <t>IRDM</t>
  </si>
  <si>
    <t>WNW</t>
  </si>
  <si>
    <t>LBRDA</t>
  </si>
  <si>
    <t>QDEL</t>
  </si>
  <si>
    <t>TVRD</t>
  </si>
  <si>
    <t>LOOP</t>
  </si>
  <si>
    <t>VRDN</t>
  </si>
  <si>
    <t>WKSP</t>
  </si>
  <si>
    <t>SLS</t>
  </si>
  <si>
    <t>ONEG</t>
  </si>
  <si>
    <t>SKYQ</t>
  </si>
  <si>
    <t>ABCL</t>
  </si>
  <si>
    <t>FAMI</t>
  </si>
  <si>
    <t>JUNS</t>
  </si>
  <si>
    <t>CREX</t>
  </si>
  <si>
    <t>PCLA</t>
  </si>
  <si>
    <t>CAST</t>
  </si>
  <si>
    <t>IVF</t>
  </si>
  <si>
    <t>BLD</t>
  </si>
  <si>
    <t>NEXR</t>
  </si>
  <si>
    <t>SOXS</t>
  </si>
  <si>
    <t>TZA</t>
  </si>
  <si>
    <t>PSIG</t>
  </si>
  <si>
    <t>ILLR</t>
  </si>
  <si>
    <t>NXTS</t>
  </si>
  <si>
    <t>RCT</t>
  </si>
  <si>
    <t>WSHP</t>
  </si>
  <si>
    <t>TII</t>
  </si>
  <si>
    <t>TOMZ</t>
  </si>
  <si>
    <t>HUMA</t>
  </si>
  <si>
    <t>BTOG</t>
  </si>
  <si>
    <t>ATAI</t>
  </si>
  <si>
    <t>CNET</t>
  </si>
  <si>
    <t>IAUX</t>
  </si>
  <si>
    <t>SNAP</t>
  </si>
  <si>
    <t>NAK</t>
  </si>
  <si>
    <t>RXRX</t>
  </si>
  <si>
    <t>MBRX</t>
  </si>
  <si>
    <t>RXT</t>
  </si>
  <si>
    <t>YMM</t>
  </si>
  <si>
    <t>BFLY</t>
  </si>
  <si>
    <t>RZLV</t>
  </si>
  <si>
    <t>SAFX</t>
  </si>
  <si>
    <t>QH</t>
  </si>
  <si>
    <t>KUST</t>
  </si>
  <si>
    <t>NIXX</t>
  </si>
  <si>
    <t>RPAY</t>
  </si>
  <si>
    <t>LGCL</t>
  </si>
  <si>
    <t>KNDI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</si>
</sst>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2,786 M</v>
        <stp/>
        <stp>MARKET_CAP</stp>
        <stp>FRSH</stp>
        <tr r="I203" s="1"/>
      </tp>
      <tp>
        <v>-0.38500000000000001</v>
        <stp/>
        <stp>MARK_CHANGE</stp>
        <stp>GPK</stp>
        <tr r="D140" s="1"/>
      </tp>
      <tp>
        <v>1.4999999999999999E-2</v>
        <stp/>
        <stp>MARK_CHANGE</stp>
        <stp>GTM</stp>
        <tr r="D209" s="1"/>
      </tp>
      <tp t="s">
        <v>12 M</v>
        <stp/>
        <stp>MARKET_CAP</stp>
        <stp>PRZO</stp>
        <tr r="I124" s="1"/>
      </tp>
      <tp t="s">
        <v>278 M</v>
        <stp/>
        <stp>MARKET_CAP</stp>
        <stp>ORBS</stp>
        <tr r="I92" s="1"/>
      </tp>
      <tp t="s">
        <v>98 M</v>
        <stp/>
        <stp>MARKET_CAP</stp>
        <stp>SRFM</stp>
        <tr r="I95" s="1"/>
        <tr r="I232" s="1"/>
      </tp>
      <tp t="s">
        <v>457 M</v>
        <stp/>
        <stp>MARKET_CAP</stp>
        <stp>KREF</stp>
        <tr r="I188" s="1"/>
      </tp>
      <tp t="s">
        <v>1.7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719 M</v>
        <stp/>
        <stp>MARKET_CAP</stp>
        <stp>TRON</stp>
        <tr r="I208" s="1"/>
      </tp>
      <tp t="s">
        <v>6,199 M</v>
        <stp/>
        <stp>MARKET_CAP</stp>
        <stp>FRMI</stp>
        <tr r="I158" s="1"/>
      </tp>
      <tp>
        <v>0.23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6.12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-1.3950000000000001E-2</v>
        <stp/>
        <stp>MARK_CHANGE</stp>
        <stp>PRZO</stp>
        <tr r="D124" s="1"/>
      </tp>
      <tp t="s">
        <v>+0.14%</v>
        <stp/>
        <stp>MARK_PERCENT_CHANGE</stp>
        <stp>AGPU</stp>
        <tr r="E70" s="1"/>
        <tr r="E184" s="1"/>
      </tp>
      <tp>
        <v>4.91</v>
        <stp/>
        <stp>ASK</stp>
        <stp>CDLX</stp>
        <tr r="H146" s="1"/>
      </tp>
      <tp>
        <v>1.26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7.6399999999999996E-2</v>
        <stp/>
        <stp>MARK_CHANGE</stp>
        <stp>SRFM</stp>
        <tr r="D95" s="1"/>
        <tr r="D232" s="1"/>
      </tp>
      <tp>
        <v>-7.0000000000000007E-2</v>
        <stp/>
        <stp>MARK_CHANGE</stp>
        <stp>KREF</stp>
        <tr r="D188" s="1"/>
      </tp>
      <tp>
        <v>-1.9900000000000001E-2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-5.5E-2</v>
        <stp/>
        <stp>MARK_CHANGE</stp>
        <stp>TRON</stp>
        <tr r="D208" s="1"/>
      </tp>
      <tp>
        <v>0.22500000000000001</v>
        <stp/>
        <stp>MARK_CHANGE</stp>
        <stp>FRMI</stp>
        <tr r="D158" s="1"/>
      </tp>
      <tp>
        <v>-3.8100000000000002E-2</v>
        <stp/>
        <stp>MARK_CHANGE</stp>
        <stp>LRHC</stp>
        <tr r="D187" s="1"/>
      </tp>
      <tp t="s">
        <v>203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0.86 M</v>
        <stp/>
        <stp>MARKET_CAP</stp>
        <stp>ZSPC</stp>
        <tr r="I69" s="1"/>
      </tp>
      <tp t="s">
        <v>49 M</v>
        <stp/>
        <stp>MARKET_CAP</stp>
        <stp>ASTI</stp>
        <tr r="I174" s="1"/>
        <tr r="I131" s="1"/>
      </tp>
      <tp t="s">
        <v>4.1 M</v>
        <stp/>
        <stp>MARKET_CAP</stp>
        <stp>GSUN</stp>
        <tr r="I82" s="1"/>
      </tp>
      <tp t="s">
        <v>1,683 M</v>
        <stp/>
        <stp>MARKET_CAP</stp>
        <stp>ASAN</stp>
        <tr r="I196" s="1"/>
      </tp>
      <tp t="s">
        <v>251 M</v>
        <stp/>
        <stp>MARKET_CAP</stp>
        <stp>GSIT</stp>
        <tr r="I217" s="1"/>
      </tp>
      <tp>
        <v>1.27</v>
        <stp/>
        <stp>ASK</stp>
        <stp>RECT</stp>
        <tr r="H133" s="1"/>
      </tp>
      <tp>
        <v>0.28789999999999999</v>
        <stp/>
        <stp>MARK_CHANGE</stp>
        <stp>ASTI</stp>
        <tr r="D131" s="1"/>
        <tr r="D174" s="1"/>
      </tp>
      <tp>
        <v>0.02</v>
        <stp/>
        <stp>MARK_CHANGE</stp>
        <stp>GSUN</stp>
        <tr r="D82" s="1"/>
      </tp>
      <tp>
        <v>6.1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1E-4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5.7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3.65</v>
        <stp/>
        <stp>ASK</stp>
        <stp>EEIQ</stp>
        <tr r="H221" s="1"/>
      </tp>
      <tp>
        <v>1.63</v>
        <stp/>
        <stp>ASK</stp>
        <stp>ZENA</stp>
        <tr r="H123" s="1"/>
      </tp>
      <tp>
        <v>1.86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11.55</v>
        <stp/>
        <stp>ASK</stp>
        <stp>REPL</stp>
        <tr r="H175" s="1"/>
        <tr r="H122" s="1"/>
      </tp>
      <tp>
        <v>2.6</v>
        <stp/>
        <stp>ASK</stp>
        <stp>RETO</stp>
        <tr r="H72" s="1"/>
      </tp>
      <tp>
        <v>0.32</v>
        <stp/>
        <stp>MARK_CHANGE</stp>
        <stp>ASAN</stp>
        <tr r="D196" s="1"/>
      </tp>
      <tp>
        <v>-0.28999999999999998</v>
        <stp/>
        <stp>MARK_CHANGE</stp>
        <stp>GSIT</stp>
        <tr r="D217" s="1"/>
      </tp>
      <tp>
        <v>346651</v>
        <stp/>
        <stp>VOLUME</stp>
        <stp>TRX</stp>
        <tr r="F97" s="1"/>
      </tp>
      <tp>
        <v>49400</v>
        <stp/>
        <stp>VOLUME</stp>
        <stp>TWI</stp>
        <tr r="F136" s="1"/>
      </tp>
      <tp t="s">
        <v>316 M</v>
        <stp/>
        <stp>MARKET_CAP</stp>
        <stp>ADSLF</stp>
        <tr r="I108" s="1"/>
      </tp>
      <tp t="s">
        <v>1.7 M</v>
        <stp/>
        <stp>MARKET_CAP</stp>
        <stp>IPST</stp>
        <tr r="I182" s="1"/>
      </tp>
      <tp t="s">
        <v>2.2 M</v>
        <stp/>
        <stp>MARKET_CAP</stp>
        <stp>RPGL</stp>
        <tr r="I76" s="1"/>
      </tp>
      <tp t="s">
        <v>4,206 M</v>
        <stp/>
        <stp>MARKET_CAP</stp>
        <stp>OPEN</stp>
        <tr r="I101" s="1"/>
      </tp>
      <tp t="s">
        <v>102 M</v>
        <stp/>
        <stp>MARKET_CAP</stp>
        <stp>CPIX</stp>
        <tr r="I180" s="1"/>
      </tp>
      <tp>
        <v>-0.12</v>
        <stp/>
        <stp>MARK_CHANGE</stp>
        <stp>IPST</stp>
        <tr r="D182" s="1"/>
      </tp>
      <tp>
        <v>0.84870000000000001</v>
        <stp/>
        <stp>MARK</stp>
        <stp>TRX</stp>
        <tr r="C97" s="1"/>
      </tp>
      <tp t="s">
        <v>-3.46%</v>
        <stp/>
        <stp>MARK_PERCENT_CHANGE</stp>
        <stp>RETO</stp>
        <tr r="E72" s="1"/>
      </tp>
      <tp>
        <v>7.82</v>
        <stp/>
        <stp>MARK</stp>
        <stp>TWI</stp>
        <tr r="C136" s="1"/>
      </tp>
      <tp t="s">
        <v>-0.86%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0.05</v>
        <stp/>
        <stp>MARK_CHANGE</stp>
        <stp>RPGL</stp>
        <tr r="D76" s="1"/>
      </tp>
      <tp t="s">
        <v>+0.55%</v>
        <stp/>
        <stp>MARK_PERCENT_CHANGE</stp>
        <stp>RENX</stp>
        <tr r="E162" s="1"/>
      </tp>
      <tp>
        <v>-0.01</v>
        <stp/>
        <stp>MARK_CHANGE</stp>
        <stp>OPEN</stp>
        <tr r="D101" s="1"/>
      </tp>
      <tp t="s">
        <v>+4.49%</v>
        <stp/>
        <stp>MARK_PERCENT_CHANGE</stp>
        <stp>ZENA</stp>
        <tr r="E123" s="1"/>
      </tp>
      <tp t="s">
        <v>+2.41%</v>
        <stp/>
        <stp>MARK_PERCENT_CHANGE</stp>
        <stp>EEIQ</stp>
        <tr r="E221" s="1"/>
      </tp>
      <tp t="s">
        <v>-5.56%</v>
        <stp/>
        <stp>MARK_PERCENT_CHANGE</stp>
        <stp>KEEL</stp>
        <tr r="E173" s="1"/>
        <tr r="E128" s="1"/>
      </tp>
      <tp t="s">
        <v>+3.04%</v>
        <stp/>
        <stp>MARK_PERCENT_CHANGE</stp>
        <stp>WEAV</stp>
        <tr r="E220" s="1"/>
      </tp>
      <tp t="s">
        <v>+0.83%</v>
        <stp/>
        <stp>MARK_PERCENT_CHANGE</stp>
        <stp>RECT</stp>
        <tr r="E133" s="1"/>
      </tp>
      <tp>
        <v>0.05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+13.21%</v>
        <stp/>
        <stp>MARK_PERCENT_CHANGE</stp>
        <stp>BDMD</stp>
        <tr r="E141" s="1"/>
      </tp>
      <tp t="s">
        <v>+3.61%</v>
        <stp/>
        <stp>MARK_PERCENT_CHANGE</stp>
        <stp>CDLX</stp>
        <tr r="E146" s="1"/>
      </tp>
      <tp>
        <v>7.21</v>
        <stp/>
        <stp>ASK</stp>
        <stp>AGPU</stp>
        <tr r="H184" s="1"/>
        <tr r="H70" s="1"/>
      </tp>
      <tp t="s">
        <v>+4.62%</v>
        <stp/>
        <stp>MARK_PERCENT_CHANGE</stp>
        <stp>TDIC</stp>
        <tr r="E168" s="1"/>
      </tp>
      <tp t="s">
        <v>6,841 M</v>
        <stp/>
        <stp>MARKET_CAP</stp>
        <stp>AVTR</stp>
        <tr r="I211" s="1"/>
      </tp>
      <tp>
        <v>0.14000000000000001</v>
        <stp/>
        <stp>MARK_CHANGE</stp>
        <stp>CXM</stp>
        <tr r="D206" s="1"/>
      </tp>
      <tp>
        <v>0.02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-0.26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+9.21%</v>
        <stp/>
        <stp>MARK_PERCENT_CHANGE</stp>
        <stp>ACXP</stp>
        <tr r="E228" s="1"/>
      </tp>
      <tp t="s">
        <v>+1.91%</v>
        <stp/>
        <stp>MARK_PERCENT_CHANGE</stp>
        <stp>GCTS</stp>
        <tr r="E149" s="1"/>
      </tp>
      <tp>
        <v>1.45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-0.90%</v>
        <stp/>
        <stp>MARK_PERCENT_CHANGE</stp>
        <stp>ACRS</stp>
        <tr r="E135" s="1"/>
      </tp>
      <tp>
        <v>1.1200000000000001</v>
        <stp/>
        <stp>BID</stp>
        <stp>JZXN</stp>
        <tr r="G91" s="1"/>
      </tp>
      <tp t="s">
        <v>-0.51%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+0.34%</v>
        <stp/>
        <stp>MARK_PERCENT_CHANGE</stp>
        <stp>ACDC</stp>
        <tr r="E142" s="1"/>
      </tp>
      <tp t="s">
        <v>+4.67%</v>
        <stp/>
        <stp>MARK_PERCENT_CHANGE</stp>
        <stp>OCGN</stp>
        <tr r="E147" s="1"/>
      </tp>
      <tp t="s">
        <v>-0.85%</v>
        <stp/>
        <stp>MARK_PERCENT_CHANGE</stp>
        <stp>UCAR</stp>
        <tr r="E172" s="1"/>
      </tp>
      <tp>
        <v>5.85</v>
        <stp/>
        <stp>MARK</stp>
        <stp>RES</stp>
        <tr r="C165" s="1"/>
      </tp>
      <tp t="s">
        <v>-2.14%</v>
        <stp/>
        <stp>MARK_PERCENT_CHANGE</stp>
        <stp>YCBD</stp>
        <tr r="E176" s="1"/>
      </tp>
      <tp t="s">
        <v>35,254 M</v>
        <stp/>
        <stp>MARKET_CAP</stp>
        <stp>LNVGF</stp>
        <tr r="I112" s="1"/>
      </tp>
      <tp>
        <v>-2.5000000000000001E-2</v>
        <stp/>
        <stp>MARK_CHANGE</stp>
        <stp>EU</stp>
        <tr r="D120" s="1"/>
      </tp>
      <tp>
        <v>-0.13</v>
        <stp/>
        <stp>MARK_CHANGE</stp>
        <stp>BTG</stp>
        <tr r="D139" s="1"/>
      </tp>
      <tp>
        <v>-0.13</v>
        <stp/>
        <stp>MARK_CHANGE</stp>
        <stp>MX</stp>
        <tr r="D113" s="1"/>
      </tp>
      <tp>
        <v>0.35</v>
        <stp/>
        <stp>MARK_CHANGE</stp>
        <stp>TE</stp>
        <tr r="D94" s="1"/>
      </tp>
      <tp>
        <v>0.08</v>
        <stp/>
        <stp>MARK_CHANGE</stp>
        <stp>RR</stp>
        <tr r="D103" s="1"/>
      </tp>
      <tp>
        <v>0.1</v>
        <stp/>
        <stp>MARK_CHANGE</stp>
        <stp>QS</stp>
        <tr r="D132" s="1"/>
        <tr r="D170" s="1"/>
      </tp>
      <tp>
        <v>0.32500000000000001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1.77</v>
        <stp/>
        <stp>ASK</stp>
        <stp>PACB</stp>
        <tr r="H226" s="1"/>
      </tp>
      <tp>
        <v>3.13</v>
        <stp/>
        <stp>ASK</stp>
        <stp>LAES</stp>
        <tr r="H83" s="1"/>
      </tp>
      <tp>
        <v>2.5</v>
        <stp/>
        <stp>MARK</stp>
        <stp>SST</stp>
        <tr r="C178" s="1"/>
      </tp>
      <tp t="s">
        <v>-2.41%</v>
        <stp/>
        <stp>MARK_PERCENT_CHANGE</stp>
        <stp>WBUY</stp>
        <tr r="E204" s="1"/>
      </tp>
      <tp t="s">
        <v>0.00%</v>
        <stp/>
        <stp>MARK_PERCENT_CHANGE</stp>
        <stp>ABTS</stp>
        <tr r="E194" s="1"/>
      </tp>
      <tp t="s">
        <v>-0.96%</v>
        <stp/>
        <stp>MARK_PERCENT_CHANGE</stp>
        <stp>ABTC</stp>
        <tr r="E106" s="1"/>
      </tp>
      <tp>
        <v>7.7</v>
        <stp/>
        <stp>MARK</stp>
        <stp>SPT</stp>
        <tr r="C219" s="1"/>
      </tp>
      <tp t="s">
        <v>+4.68%</v>
        <stp/>
        <stp>MARK_PERCENT_CHANGE</stp>
        <stp>ABSI</stp>
        <tr r="E138" s="1"/>
      </tp>
      <tp>
        <v>0.40570000000000001</v>
        <stp/>
        <stp>ASK</stp>
        <stp>GAME</stp>
        <tr r="H80" s="1"/>
      </tp>
      <tp t="s">
        <v>-1.15%</v>
        <stp/>
        <stp>MARK_PERCENT_CHANGE</stp>
        <stp>IBRX</stp>
        <tr r="E87" s="1"/>
      </tp>
      <tp t="s">
        <v>+2.05%</v>
        <stp/>
        <stp>MARK_PERCENT_CHANGE</stp>
        <stp>MBLY</stp>
        <tr r="E171" s="1"/>
      </tp>
      <tp t="s">
        <v>-2.92%</v>
        <stp/>
        <stp>MARK_PERCENT_CHANGE</stp>
        <stp>JBLU</stp>
        <tr r="E151" s="1"/>
      </tp>
      <tp>
        <v>6.5</v>
        <stp/>
        <stp>ASK</stp>
        <stp>PAVS</stp>
        <tr r="H216" s="1"/>
      </tp>
      <tp>
        <v>0.8599</v>
        <stp/>
        <stp>ASK</stp>
        <stp>UAVS</stp>
        <tr r="H96" s="1"/>
      </tp>
      <tp>
        <v>14.484999999999999</v>
        <stp/>
        <stp>MARK</stp>
        <stp>SMX</stp>
        <tr r="C118" s="1"/>
      </tp>
      <tp>
        <v>10.9</v>
        <stp/>
        <stp>ASK</stp>
        <stp>PATH</stp>
        <tr r="H210" s="1"/>
      </tp>
      <tp>
        <v>5.0999999999999996</v>
        <stp/>
        <stp>ASK</stp>
        <stp>SATL</stp>
        <tr r="H86" s="1"/>
      </tp>
      <tp>
        <v>1.31</v>
        <stp/>
        <stp>ASK</stp>
        <stp>BATL</stp>
        <tr r="H121" s="1"/>
      </tp>
      <tp t="s">
        <v>+1.72%</v>
        <stp/>
        <stp>MARK_PERCENT_CHANGE</stp>
        <stp>BBAI</stp>
        <tr r="E84" s="1"/>
      </tp>
      <tp>
        <v>0.94240000000000002</v>
        <stp/>
        <stp>MARK</stp>
        <stp>SES</stp>
        <tr r="C126" s="1"/>
      </tp>
      <tp>
        <v>8947</v>
        <stp/>
        <stp>VOLUME</stp>
        <stp>PBM</stp>
        <tr r="F79" s="1"/>
        <tr r="F213" s="1"/>
      </tp>
      <tp>
        <v>446539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1,645 M</v>
        <stp/>
        <stp>MARKET_CAP</stp>
        <stp>FTRE</stp>
        <tr r="I200" s="1"/>
      </tp>
      <tp t="s">
        <v>4,322 M</v>
        <stp/>
        <stp>MARKET_CAP</stp>
        <stp>NTSK</stp>
        <tr r="I224" s="1"/>
      </tp>
      <tp t="s">
        <v>650 M</v>
        <stp/>
        <stp>MARKET_CAP</stp>
        <stp>BTBT</stp>
        <tr r="I100" s="1"/>
      </tp>
      <tp>
        <v>0.03</v>
        <stp/>
        <stp>MARK_CHANGE</stp>
        <stp>ACB</stp>
        <tr r="D222" s="1"/>
      </tp>
      <tp t="s">
        <v>2,666 M</v>
        <stp/>
        <stp>MARKET_CAP</stp>
        <stp>CTOS</stp>
        <tr r="I157" s="1"/>
      </tp>
      <tp>
        <v>3.5000000000000003E-2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232" s="1"/>
        <tr r="B95" s="1"/>
      </tp>
      <tp>
        <v>3.55</v>
        <stp/>
        <stp>ASK</stp>
        <stp>BBAI</stp>
        <tr r="H84" s="1"/>
      </tp>
      <tp>
        <v>-0.26</v>
        <stp/>
        <stp>MARK_CHANGE</stp>
        <stp>FTRE</stp>
        <tr r="D200" s="1"/>
      </tp>
      <tp>
        <v>0.41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+10.17%</v>
        <stp/>
        <stp>MARK_PERCENT_CHANGE</stp>
        <stp>SATL</stp>
        <tr r="E86" s="1"/>
      </tp>
      <tp t="s">
        <v>+5.70%</v>
        <stp/>
        <stp>MARK_PERCENT_CHANGE</stp>
        <stp>BATL</stp>
        <tr r="E121" s="1"/>
      </tp>
      <tp t="s">
        <v>+3.42%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+8516.44%</v>
        <stp/>
        <stp>MARK_PERCENT_CHANGE</stp>
        <stp>PAVS</stp>
        <tr r="E216" s="1"/>
      </tp>
      <tp t="s">
        <v>-1.33%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5.83</v>
        <stp/>
        <stp>ASK</stp>
        <stp>JBLU</stp>
        <tr r="H151" s="1"/>
      </tp>
      <tp>
        <v>7.97</v>
        <stp/>
        <stp>ASK</stp>
        <stp>MBLY</stp>
        <tr r="H171" s="1"/>
      </tp>
      <tp t="s">
        <v>+2.85%</v>
        <stp/>
        <stp>MARK_PERCENT_CHANGE</stp>
        <stp>GAME</stp>
        <tr r="E80" s="1"/>
      </tp>
      <tp>
        <v>8.6199999999999992</v>
        <stp/>
        <stp>ASK</stp>
        <stp>IBRX</stp>
        <tr r="H87" s="1"/>
      </tp>
      <tp>
        <v>11.41</v>
        <stp/>
        <stp>ASK</stp>
        <stp>ABSI</stp>
        <tr r="H138" s="1"/>
      </tp>
      <tp>
        <v>-0.12989999999999999</v>
        <stp/>
        <stp>MARK_CHANGE</stp>
        <stp>BTBT</stp>
        <tr r="D100" s="1"/>
      </tp>
      <tp>
        <v>0.71179999999999999</v>
        <stp/>
        <stp>ASK</stp>
        <stp>ABTC</stp>
        <tr r="H106" s="1"/>
      </tp>
      <tp>
        <v>1.21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0.86</v>
        <stp/>
        <stp>ASK</stp>
        <stp>WBUY</stp>
        <tr r="H204" s="1"/>
      </tp>
      <tp>
        <v>7.58</v>
        <stp/>
        <stp>MARK</stp>
        <stp>PCT</stp>
        <tr r="C167" s="1"/>
      </tp>
      <tp t="s">
        <v>+0.16%</v>
        <stp/>
        <stp>MARK_PERCENT_CHANGE</stp>
        <stp>LAES</stp>
        <tr r="E83" s="1"/>
      </tp>
      <tp>
        <v>3.07</v>
        <stp/>
        <stp>MARK</stp>
        <stp>PBM</stp>
        <tr r="C213" s="1"/>
        <tr r="C79" s="1"/>
      </tp>
      <tp>
        <v>-0.22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+6.81%</v>
        <stp/>
        <stp>MARK_PERCENT_CHANGE</stp>
        <stp>PACB</stp>
        <tr r="E226" s="1"/>
      </tp>
      <tp>
        <v>1633318</v>
        <stp/>
        <stp>VOLUME</stp>
        <stp>SES</stp>
        <tr r="F126" s="1"/>
      </tp>
      <tp>
        <v>2799</v>
        <stp/>
        <stp>VOLUME</stp>
        <stp>SMX</stp>
        <tr r="F118" s="1"/>
      </tp>
      <tp>
        <v>146267</v>
        <stp/>
        <stp>VOLUME</stp>
        <stp>SPT</stp>
        <tr r="F219" s="1"/>
      </tp>
      <tp>
        <v>4874</v>
        <stp/>
        <stp>VOLUME</stp>
        <stp>SST</stp>
        <tr r="F178" s="1"/>
      </tp>
      <tp t="s">
        <v>6.7 M</v>
        <stp/>
        <stp>MARKET_CAP</stp>
        <stp>AUUD</stp>
        <tr r="I181" s="1"/>
      </tp>
      <tp>
        <v>7.25</v>
        <stp/>
        <stp>BID</stp>
        <stp>QS</stp>
        <tr r="G170" s="1"/>
        <tr r="G132" s="1"/>
      </tp>
      <tp>
        <v>2.02</v>
        <stp/>
        <stp>ASK</stp>
        <stp>RR</stp>
        <tr r="H103" s="1"/>
      </tp>
      <tp>
        <v>9.4</v>
        <stp/>
        <stp>BID</stp>
        <stp>PD</stp>
        <tr r="G231" s="1"/>
      </tp>
      <tp>
        <v>9.43</v>
        <stp/>
        <stp>ASK</stp>
        <stp>PD</stp>
        <tr r="H231" s="1"/>
      </tp>
      <tp>
        <v>2.0099999999999998</v>
        <stp/>
        <stp>BID</stp>
        <stp>RR</stp>
        <tr r="G103" s="1"/>
      </tp>
      <tp>
        <v>7.26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8.5500000000000007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8.56</v>
        <stp/>
        <stp>ASK</stp>
        <stp>TE</stp>
        <tr r="H94" s="1"/>
      </tp>
      <tp t="s">
        <v>4.7 M</v>
        <stp/>
        <stp>MARKET_CAP</stp>
        <stp>HUBC</stp>
        <tr r="I190" s="1"/>
      </tp>
      <tp t="s">
        <v>570 M</v>
        <stp/>
        <stp>MARKET_CAP</stp>
        <stp>NUAI</stp>
        <tr r="I93" s="1"/>
      </tp>
      <tp>
        <v>4.51</v>
        <stp/>
        <stp>BID</stp>
        <stp>MX</stp>
        <tr r="G113" s="1"/>
      </tp>
      <tp>
        <v>4.53</v>
        <stp/>
        <stp>ASK</stp>
        <stp>MX</stp>
        <tr r="H113" s="1"/>
      </tp>
      <tp>
        <v>1.32</v>
        <stp/>
        <stp>BID</stp>
        <stp>EU</stp>
        <tr r="G120" s="1"/>
      </tp>
      <tp t="s">
        <v>247 M</v>
        <stp/>
        <stp>MARKET_CAP</stp>
        <stp>FULC</stp>
        <tr r="I164" s="1"/>
      </tp>
      <tp t="s">
        <v>3,579 M</v>
        <stp/>
        <stp>MARKET_CAP</stp>
        <stp>BULL</stp>
        <tr r="I89" s="1"/>
      </tp>
      <tp>
        <v>1.33</v>
        <stp/>
        <stp>ASK</stp>
        <stp>EU</stp>
        <tr r="H120" s="1"/>
      </tp>
      <tp>
        <v>0.68389999999999995</v>
        <stp/>
        <stp>ASK</stp>
        <stp>YCBD</stp>
        <tr r="H176" s="1"/>
      </tp>
      <tp>
        <v>0.68030000000000002</v>
        <stp/>
        <stp>BID</stp>
        <stp>BYND</stp>
        <tr r="G214" s="1"/>
      </tp>
      <tp>
        <v>-2.01E-2</v>
        <stp/>
        <stp>MARK_CHANGE</stp>
        <stp>AUUD</stp>
        <tr r="D181" s="1"/>
      </tp>
      <tp>
        <v>1.2</v>
        <stp/>
        <stp>ASK</stp>
        <stp>UCAR</stp>
        <tr r="H172" s="1"/>
      </tp>
      <tp>
        <v>1.57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5.85</v>
        <stp/>
        <stp>ASK</stp>
        <stp>ACDC</stp>
        <tr r="H142" s="1"/>
      </tp>
      <tp>
        <v>4.8499999999999996</v>
        <stp/>
        <stp>ASK</stp>
        <stp>ACHR</stp>
        <tr r="H107" s="1"/>
      </tp>
      <tp>
        <v>7.81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4.96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-0.02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2.4</v>
        <stp/>
        <stp>ASK</stp>
        <stp>GCTS</stp>
        <tr r="H149" s="1"/>
      </tp>
      <tp>
        <v>-0.28999999999999998</v>
        <stp/>
        <stp>MARK_CHANGE</stp>
        <stp>NUAI</stp>
        <tr r="D93" s="1"/>
      </tp>
      <tp>
        <v>8.4</v>
        <stp/>
        <stp>BID</stp>
        <stp>KYTX</stp>
        <tr r="G207" s="1"/>
      </tp>
      <tp>
        <v>-0.1</v>
        <stp/>
        <stp>MARK_CHANGE</stp>
        <stp>FULC</stp>
        <tr r="D164" s="1"/>
      </tp>
      <tp>
        <v>-0.09</v>
        <stp/>
        <stp>MARK_CHANGE</stp>
        <stp>BULL</stp>
        <tr r="D89" s="1"/>
      </tp>
      <tp>
        <v>1.72</v>
        <stp/>
        <stp>ASK</stp>
        <stp>ACXP</stp>
        <tr r="H228" s="1"/>
      </tp>
      <tp>
        <v>80899</v>
        <stp/>
        <stp>VOLUME</stp>
        <stp>RES</stp>
        <tr r="F165" s="1"/>
      </tp>
      <tp>
        <v>5.86</v>
        <stp/>
        <stp>ASK</stp>
        <stp>RES</stp>
        <tr r="H165" s="1"/>
      </tp>
      <tp t="s">
        <v>+4.76%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-0.10%</v>
        <stp/>
        <stp>MARK_PERCENT_CHANGE</stp>
        <stp>SMX</stp>
        <tr r="E118" s="1"/>
      </tp>
      <tp t="s">
        <v>1.5 M</v>
        <stp/>
        <stp>MARKET_CAP</stp>
        <stp>JZXN</stp>
        <tr r="I91" s="1"/>
      </tp>
      <tp t="s">
        <v>207 M</v>
        <stp/>
        <stp>MARKET_CAP</stp>
        <stp>BZAI</stp>
        <tr r="I218" s="1"/>
      </tp>
      <tp t="s">
        <v>-0.40%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+2.94%</v>
        <stp/>
        <stp>MARK_PERCENT_CHANGE</stp>
        <stp>SPT</stp>
        <tr r="E219" s="1"/>
      </tp>
      <tp>
        <v>7.71</v>
        <stp/>
        <stp>ASK</stp>
        <stp>ULCC</stp>
        <tr r="H153" s="1"/>
      </tp>
      <tp>
        <v>1.21</v>
        <stp/>
        <stp>ASK</stp>
        <stp>ELAB</stp>
        <tr r="H119" s="1"/>
      </tp>
      <tp>
        <v>0.47689999999999999</v>
        <stp/>
        <stp>ASK</stp>
        <stp>SLAI</stp>
        <tr r="H81" s="1"/>
      </tp>
      <tp>
        <v>3.87</v>
        <stp/>
        <stp>ASK</stp>
        <stp>ELDN</stp>
        <tr r="H225" s="1"/>
      </tp>
      <tp>
        <v>2.61</v>
        <stp/>
        <stp>ASK</stp>
        <stp>SLDP</stp>
        <tr r="H125" s="1"/>
      </tp>
      <tp>
        <v>1.77</v>
        <stp/>
        <stp>ASK</stp>
        <stp>WLDS</stp>
        <tr r="H215" s="1"/>
      </tp>
      <tp>
        <v>8.41</v>
        <stp/>
        <stp>ASK</stp>
        <stp>MLEC</stp>
        <tr r="H143" s="1"/>
      </tp>
      <tp t="s">
        <v>-0.48%</v>
        <stp/>
        <stp>MARK_PERCENT_CHANGE</stp>
        <stp>SOUN</stp>
        <tr r="E99" s="1"/>
      </tp>
      <tp>
        <v>1.58</v>
        <stp/>
        <stp>ASK</stp>
        <stp>CLIK</stp>
        <tr r="H193" s="1"/>
      </tp>
      <tp>
        <v>2.41</v>
        <stp/>
        <stp>ASK</stp>
        <stp>GLND</stp>
        <tr r="H156" s="1"/>
      </tp>
      <tp>
        <v>1.41</v>
        <stp/>
        <stp>ASK</stp>
        <stp>SLNH</stp>
        <tr r="H148" s="1"/>
        <tr r="H88" s="1"/>
      </tp>
      <tp t="s">
        <v>+5.89%</v>
        <stp/>
        <stp>MARK_PERCENT_CHANGE</stp>
        <stp>KOPN</stp>
        <tr r="E169" s="1"/>
      </tp>
      <tp>
        <v>-0.02</v>
        <stp/>
        <stp>MARK_CHANGE</stp>
        <stp>JZXN</stp>
        <tr r="D91" s="1"/>
      </tp>
      <tp t="s">
        <v>+1.35%</v>
        <stp/>
        <stp>MARK_PERCENT_CHANGE</stp>
        <stp>EOSE</stp>
        <tr r="E102" s="1"/>
      </tp>
      <tp t="s">
        <v>+1.78%</v>
        <stp/>
        <stp>MARK_PERCENT_CHANGE</stp>
        <stp>DOMO</stp>
        <tr r="E227" s="1"/>
      </tp>
      <tp t="s">
        <v>-4.12%</v>
        <stp/>
        <stp>MARK_PERCENT_CHANGE</stp>
        <stp>ROLR</stp>
        <tr r="E114" s="1"/>
      </tp>
      <tp>
        <v>0.95389999999999997</v>
        <stp/>
        <stp>ASK</stp>
        <stp>ELPW</stp>
        <tr r="H201" s="1"/>
        <tr r="H73" s="1"/>
      </tp>
      <tp t="s">
        <v>+0.55%</v>
        <stp/>
        <stp>MARK_PERCENT_CHANGE</stp>
        <stp>EONR</stp>
        <tr r="E111" s="1"/>
      </tp>
      <tp>
        <v>2.58</v>
        <stp/>
        <stp>ASK</stp>
        <stp>PLUG</stp>
        <tr r="H104" s="1"/>
      </tp>
      <tp>
        <v>-1.4999999999999999E-2</v>
        <stp/>
        <stp>MARK_CHANGE</stp>
        <stp>BZAI</stp>
        <tr r="D218" s="1"/>
      </tp>
      <tp>
        <v>10.02</v>
        <stp/>
        <stp>BID</stp>
        <stp>AVTR</stp>
        <tr r="G211" s="1"/>
      </tp>
      <tp t="s">
        <v>-0.62%</v>
        <stp/>
        <stp>MARK_PERCENT_CHANGE</stp>
        <stp>JOBY</stp>
        <tr r="E105" s="1"/>
      </tp>
      <tp t="s">
        <v>-3.34%</v>
        <stp/>
        <stp>MARK_PERCENT_CHANGE</stp>
        <stp>LOBO</stp>
        <tr r="E75" s="1"/>
      </tp>
      <tp>
        <v>0.9456</v>
        <stp/>
        <stp>ASK</stp>
        <stp>SES</stp>
        <tr r="H126" s="1"/>
      </tp>
      <tp>
        <v>0.05</v>
        <stp/>
        <stp>MARK_CHANGE</stp>
        <stp>NPT</stp>
        <tr r="D183" s="1"/>
      </tp>
      <tp t="s">
        <v>-0.68%</v>
        <stp/>
        <stp>MARK_PERCENT_CHANGE</stp>
        <stp>RES</stp>
        <tr r="E165" s="1"/>
      </tp>
      <tp>
        <v>14.97</v>
        <stp/>
        <stp>ASK</stp>
        <stp>SMX</stp>
        <tr r="H118" s="1"/>
      </tp>
      <tp>
        <v>7.7</v>
        <stp/>
        <stp>ASK</stp>
        <stp>SPT</stp>
        <tr r="H219" s="1"/>
      </tp>
      <tp>
        <v>2.6</v>
        <stp/>
        <stp>ASK</stp>
        <stp>SST</stp>
        <tr r="H178" s="1"/>
      </tp>
      <tp>
        <v>3.01</v>
        <stp/>
        <stp>BID</stp>
        <stp>PBM</stp>
        <tr r="G79" s="1"/>
        <tr r="G213" s="1"/>
      </tp>
      <tp>
        <v>7.56</v>
        <stp/>
        <stp>BID</stp>
        <stp>PCT</stp>
        <tr r="G167" s="1"/>
      </tp>
      <tp>
        <v>4.54</v>
        <stp/>
        <stp>ASK</stp>
        <stp>AMBP</stp>
        <tr r="H159" s="1"/>
      </tp>
      <tp>
        <v>7.85</v>
        <stp/>
        <stp>ASK</stp>
        <stp>NMAX</stp>
        <tr r="H185" s="1"/>
        <tr r="H78" s="1"/>
      </tp>
      <tp>
        <v>0.73819999999999997</v>
        <stp/>
        <stp>ASK</stp>
        <stp>TMDE</stp>
        <tr r="H116" s="1"/>
      </tp>
      <tp>
        <v>0.64019999999999999</v>
        <stp/>
        <stp>ASK</stp>
        <stp>PMEC</stp>
        <tr r="H129" s="1"/>
      </tp>
      <tp t="s">
        <v>+6.24%</v>
        <stp/>
        <stp>MARK_PERCENT_CHANGE</stp>
        <stp>MNTS</stp>
        <tr r="E145" s="1"/>
      </tp>
      <tp t="s">
        <v>+8.66%</v>
        <stp/>
        <stp>MARK_PERCENT_CHANGE</stp>
        <stp>ZNTL</stp>
        <tr r="E166" s="1"/>
      </tp>
      <tp t="s">
        <v>+0.08%</v>
        <stp/>
        <stp>MARK_PERCENT_CHANGE</stp>
        <stp>ENVX</stp>
        <tr r="E110" s="1"/>
      </tp>
      <tp t="s">
        <v>+1.41%</v>
        <stp/>
        <stp>MARK_PERCENT_CHANGE</stp>
        <stp>ENVB</stp>
        <tr r="E177" s="1"/>
      </tp>
      <tp>
        <v>2.12</v>
        <stp/>
        <stp>ASK</stp>
        <stp>CMND</stp>
        <tr r="H77" s="1"/>
      </tp>
      <tp t="s">
        <v>+3.01%</v>
        <stp/>
        <stp>MARK_PERCENT_CHANGE</stp>
        <stp>GNPX</stp>
        <tr r="E160" s="1"/>
      </tp>
      <tp>
        <v>0.4763</v>
        <stp/>
        <stp>ASK</stp>
        <stp>RMSG</stp>
        <tr r="H202" s="1"/>
      </tp>
      <tp>
        <v>7</v>
        <stp/>
        <stp>ASK</stp>
        <stp>IMSR</stp>
        <tr r="H127" s="1"/>
      </tp>
      <tp t="s">
        <v>+17.39%</v>
        <stp/>
        <stp>MARK_PERCENT_CHANGE</stp>
        <stp>NNOX</stp>
        <tr r="E212" s="1"/>
      </tp>
      <tp>
        <v>14.47</v>
        <stp/>
        <stp>ASK</stp>
        <stp>CMPS</stp>
        <tr r="H137" s="1"/>
      </tp>
      <tp t="s">
        <v>+3.17%</v>
        <stp/>
        <stp>MARK_PERCENT_CHANGE</stp>
        <stp>ANNA</stp>
        <tr r="E85" s="1"/>
      </tp>
      <tp t="s">
        <v>-2.82%</v>
        <stp/>
        <stp>MARK_PERCENT_CHANGE</stp>
        <stp>INDI</stp>
        <tr r="E161" s="1"/>
      </tp>
      <tp t="s">
        <v>+2.62%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3.07</v>
        <stp/>
        <stp>ASK</stp>
        <stp>PBM</stp>
        <tr r="H79" s="1"/>
        <tr r="H213" s="1"/>
      </tp>
      <tp>
        <v>7.58</v>
        <stp/>
        <stp>ASK</stp>
        <stp>PCT</stp>
        <tr r="H167" s="1"/>
      </tp>
      <tp>
        <v>2.48</v>
        <stp/>
        <stp>BID</stp>
        <stp>SST</stp>
        <tr r="G178" s="1"/>
      </tp>
      <tp>
        <v>7.69</v>
        <stp/>
        <stp>BID</stp>
        <stp>SPT</stp>
        <tr r="G219" s="1"/>
      </tp>
      <tp>
        <v>14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0.94230000000000003</v>
        <stp/>
        <stp>BID</stp>
        <stp>SES</stp>
        <tr r="G126" s="1"/>
      </tp>
      <tp>
        <v>0.96819999999999995</v>
        <stp/>
        <stp>ASK</stp>
        <stp>QNCX</stp>
        <tr r="H154" s="1"/>
      </tp>
      <tp>
        <v>11.7</v>
        <stp/>
        <stp>BID</stp>
        <stp>CTOS</stp>
        <tr r="G157" s="1"/>
      </tp>
      <tp>
        <v>3.46</v>
        <stp/>
        <stp>ASK</stp>
        <stp>INDI</stp>
        <tr r="H161" s="1"/>
      </tp>
      <tp>
        <v>2.93</v>
        <stp/>
        <stp>ASK</stp>
        <stp>ANNA</stp>
        <tr r="H85" s="1"/>
      </tp>
      <tp t="s">
        <v>-2.63%</v>
        <stp/>
        <stp>MARK_PERCENT_CHANGE</stp>
        <stp>CMPS</stp>
        <tr r="E137" s="1"/>
      </tp>
      <tp>
        <v>1.28</v>
        <stp/>
        <stp>ASK</stp>
        <stp>NNOX</stp>
        <tr r="H212" s="1"/>
      </tp>
      <tp t="s">
        <v>+3.71%</v>
        <stp/>
        <stp>MARK_PERCENT_CHANGE</stp>
        <stp>IMSR</stp>
        <tr r="E127" s="1"/>
      </tp>
      <tp t="s">
        <v>+1.12%</v>
        <stp/>
        <stp>MARK_PERCENT_CHANGE</stp>
        <stp>RMSG</stp>
        <tr r="E202" s="1"/>
      </tp>
      <tp>
        <v>1.86</v>
        <stp/>
        <stp>BID</stp>
        <stp>BTBT</stp>
        <tr r="G100" s="1"/>
      </tp>
      <tp>
        <v>0.51390000000000002</v>
        <stp/>
        <stp>ASK</stp>
        <stp>GNPX</stp>
        <tr r="H160" s="1"/>
      </tp>
      <tp t="s">
        <v>-11.76%</v>
        <stp/>
        <stp>MARK_PERCENT_CHANGE</stp>
        <stp>CMND</stp>
        <tr r="E77" s="1"/>
      </tp>
      <tp>
        <v>1.45</v>
        <stp/>
        <stp>ASK</stp>
        <stp>ENVB</stp>
        <tr r="H177" s="1"/>
      </tp>
      <tp>
        <v>5.96</v>
        <stp/>
        <stp>ASK</stp>
        <stp>ENVX</stp>
        <tr r="H110" s="1"/>
      </tp>
      <tp>
        <v>4.4000000000000004</v>
        <stp/>
        <stp>ASK</stp>
        <stp>ZNTL</stp>
        <tr r="H166" s="1"/>
      </tp>
      <tp>
        <v>7.54</v>
        <stp/>
        <stp>ASK</stp>
        <stp>MNTS</stp>
        <tr r="H145" s="1"/>
      </tp>
      <tp t="s">
        <v>-4.38%</v>
        <stp/>
        <stp>MARK_PERCENT_CHANGE</stp>
        <stp>PMEC</stp>
        <tr r="E129" s="1"/>
      </tp>
      <tp t="s">
        <v>+0.13%</v>
        <stp/>
        <stp>MARK_PERCENT_CHANGE</stp>
        <stp>TMDE</stp>
        <tr r="E116" s="1"/>
      </tp>
      <tp t="s">
        <v>+4.27%</v>
        <stp/>
        <stp>MARK_PERCENT_CHANGE</stp>
        <stp>NMAX</stp>
        <tr r="E78" s="1"/>
        <tr r="E185" s="1"/>
      </tp>
      <tp>
        <v>10.69</v>
        <stp/>
        <stp>BID</stp>
        <stp>NTSK</stp>
        <tr r="G224" s="1"/>
      </tp>
      <tp>
        <v>17.34</v>
        <stp/>
        <stp>BID</stp>
        <stp>FTRE</stp>
        <tr r="G200" s="1"/>
      </tp>
      <tp t="s">
        <v>-1.63%</v>
        <stp/>
        <stp>MARK_PERCENT_CHANGE</stp>
        <stp>AMBP</stp>
        <tr r="E159" s="1"/>
      </tp>
      <tp>
        <v>9.5000000000000001E-2</v>
        <stp/>
        <stp>MARK_CHANGE</stp>
        <stp>LPL</stp>
        <tr r="D186" s="1"/>
      </tp>
      <tp t="s">
        <v>-2.70%</v>
        <stp/>
        <stp>MARK_PERCENT_CHANGE</stp>
        <stp>PCT</stp>
        <tr r="E167" s="1"/>
      </tp>
      <tp t="s">
        <v>+3.37%</v>
        <stp/>
        <stp>MARK_PERCENT_CHANGE</stp>
        <stp>PBM</stp>
        <tr r="E79" s="1"/>
        <tr r="E213" s="1"/>
      </tp>
      <tp t="s">
        <v>512 M</v>
        <stp/>
        <stp>MARKET_CAP</stp>
        <stp>KYTX</stp>
        <tr r="I207" s="1"/>
      </tp>
      <tp>
        <v>-1.4999999999999999E-2</v>
        <stp/>
        <stp>MARK_CHANGE</stp>
        <stp>LAC</stp>
        <tr r="D90" s="1"/>
      </tp>
      <tp t="s">
        <v>528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5.85</v>
        <stp/>
        <stp>BID</stp>
        <stp>RES</stp>
        <tr r="G165" s="1"/>
      </tp>
      <tp t="s">
        <v>351 M</v>
        <stp/>
        <stp>MARKET_CAP</stp>
        <stp>BYND</stp>
        <tr r="I214" s="1"/>
      </tp>
      <tp>
        <v>0.66649999999999998</v>
        <stp/>
        <stp>ASK</stp>
        <stp>LOBO</stp>
        <tr r="H75" s="1"/>
      </tp>
      <tp>
        <v>8.7799999999999994</v>
        <stp/>
        <stp>ASK</stp>
        <stp>JOBY</stp>
        <tr r="H105" s="1"/>
      </tp>
      <tp>
        <v>3.69</v>
        <stp/>
        <stp>BID</stp>
        <stp>FULC</stp>
        <tr r="G164" s="1"/>
      </tp>
      <tp>
        <v>6.72</v>
        <stp/>
        <stp>BID</stp>
        <stp>BULL</stp>
        <tr r="G89" s="1"/>
      </tp>
      <tp>
        <v>-0.02</v>
        <stp/>
        <stp>MARK_CHANGE</stp>
        <stp>KYTX</stp>
        <tr r="D207" s="1"/>
      </tp>
      <tp t="s">
        <v>+1.19%</v>
        <stp/>
        <stp>MARK_PERCENT_CHANGE</stp>
        <stp>PLUG</stp>
        <tr r="E104" s="1"/>
      </tp>
      <tp>
        <v>5.62</v>
        <stp/>
        <stp>BID</stp>
        <stp>NUAI</stp>
        <tr r="G93" s="1"/>
      </tp>
      <tp>
        <v>0.48049999999999998</v>
        <stp/>
        <stp>ASK</stp>
        <stp>EONR</stp>
        <tr r="H111" s="1"/>
      </tp>
      <tp t="s">
        <v>+3.33%</v>
        <stp/>
        <stp>MARK_PERCENT_CHANGE</stp>
        <stp>ELPW</stp>
        <tr r="E201" s="1"/>
        <tr r="E73" s="1"/>
      </tp>
      <tp>
        <v>5.75</v>
        <stp/>
        <stp>ASK</stp>
        <stp>ROLR</stp>
        <tr r="H114" s="1"/>
      </tp>
      <tp>
        <v>1.38</v>
        <stp/>
        <stp>BID</stp>
        <stp>HUBC</stp>
        <tr r="G190" s="1"/>
      </tp>
      <tp>
        <v>3</v>
        <stp/>
        <stp>ASK</stp>
        <stp>DOMO</stp>
        <tr r="H227" s="1"/>
      </tp>
      <tp>
        <v>6.02</v>
        <stp/>
        <stp>ASK</stp>
        <stp>EOSE</stp>
        <tr r="H102" s="1"/>
      </tp>
      <tp>
        <v>4.05</v>
        <stp/>
        <stp>ASK</stp>
        <stp>KOPN</stp>
        <tr r="H169" s="1"/>
      </tp>
      <tp t="s">
        <v>-1.66%</v>
        <stp/>
        <stp>MARK_PERCENT_CHANGE</stp>
        <stp>SLNH</stp>
        <tr r="E148" s="1"/>
        <tr r="E88" s="1"/>
      </tp>
      <tp t="s">
        <v>-3.96%</v>
        <stp/>
        <stp>MARK_PERCENT_CHANGE</stp>
        <stp>GLND</stp>
        <tr r="E156" s="1"/>
      </tp>
      <tp t="s">
        <v>-1.27%</v>
        <stp/>
        <stp>MARK_PERCENT_CHANGE</stp>
        <stp>CLIK</stp>
        <tr r="E193" s="1"/>
      </tp>
      <tp>
        <v>-0.17</v>
        <stp/>
        <stp>MARK_CHANGE</stp>
        <stp>RYAM</stp>
        <tr r="D134" s="1"/>
      </tp>
      <tp>
        <v>6.38</v>
        <stp/>
        <stp>ASK</stp>
        <stp>SOUN</stp>
        <tr r="H99" s="1"/>
      </tp>
      <tp>
        <v>1.24</v>
        <stp/>
        <stp>BID</stp>
        <stp>AUUD</stp>
        <tr r="G181" s="1"/>
      </tp>
      <tp>
        <v>2.2200000000000001E-2</v>
        <stp/>
        <stp>MARK_CHANGE</stp>
        <stp>BYND</stp>
        <tr r="D214" s="1"/>
      </tp>
      <tp t="s">
        <v>+5.42%</v>
        <stp/>
        <stp>MARK_PERCENT_CHANGE</stp>
        <stp>MLEC</stp>
        <tr r="E143" s="1"/>
      </tp>
      <tp t="s">
        <v>+0.39%</v>
        <stp/>
        <stp>MARK_PERCENT_CHANGE</stp>
        <stp>SLDP</stp>
        <tr r="E125" s="1"/>
      </tp>
      <tp t="s">
        <v>+0.29%</v>
        <stp/>
        <stp>MARK_PERCENT_CHANGE</stp>
        <stp>WLDS</stp>
        <tr r="E215" s="1"/>
      </tp>
      <tp t="s">
        <v>+2.25%</v>
        <stp/>
        <stp>MARK_PERCENT_CHANGE</stp>
        <stp>ELDN</stp>
        <tr r="E225" s="1"/>
      </tp>
      <tp t="s">
        <v>+1.57%</v>
        <stp/>
        <stp>MARK_PERCENT_CHANGE</stp>
        <stp>SLAI</stp>
        <tr r="E81" s="1"/>
      </tp>
      <tp t="s">
        <v>+5.26%</v>
        <stp/>
        <stp>MARK_PERCENT_CHANGE</stp>
        <stp>ELAB</stp>
        <tr r="E119" s="1"/>
      </tp>
      <tp t="s">
        <v>-1.78%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9.7100000000000009</v>
        <stp/>
        <stp>BID</stp>
        <stp>FRMI</stp>
        <tr r="G158" s="1"/>
      </tp>
      <tp>
        <v>1.51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1.03</v>
        <stp/>
        <stp>BID</stp>
        <stp>LRHC</stp>
        <tr r="G187" s="1"/>
      </tp>
      <tp>
        <v>7.1</v>
        <stp/>
        <stp>BID</stp>
        <stp>KREF</stp>
        <tr r="G188" s="1"/>
      </tp>
      <tp>
        <v>0.97650000000000003</v>
        <stp/>
        <stp>BID</stp>
        <stp>SRFM</stp>
        <tr r="G95" s="1"/>
        <tr r="G232" s="1"/>
      </tp>
      <tp>
        <v>8.98</v>
        <stp/>
        <stp>ASK</stp>
        <stp>SHLS</stp>
        <tr r="H155" s="1"/>
      </tp>
      <tp>
        <v>0.71530000000000005</v>
        <stp/>
        <stp>BID</stp>
        <stp>ORBS</stp>
        <tr r="G92" s="1"/>
      </tp>
      <tp>
        <v>0.46</v>
        <stp/>
        <stp>BID</stp>
        <stp>PRZO</stp>
        <tr r="G124" s="1"/>
      </tp>
      <tp>
        <v>10.08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7.82</v>
        <stp/>
        <stp>BID</stp>
        <stp>TWI</stp>
        <tr r="G136" s="1"/>
      </tp>
      <tp>
        <v>0.84370000000000001</v>
        <stp/>
        <stp>BID</stp>
        <stp>TRX</stp>
        <tr r="G97" s="1"/>
      </tp>
      <tp>
        <v>0.66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0.82950000000000002</v>
        <stp/>
        <stp>ASK</stp>
        <stp>BIAF</stp>
        <tr r="H229" s="1"/>
      </tp>
      <tp>
        <v>6.54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2.75</v>
        <stp/>
        <stp>ASK</stp>
        <stp>SIDU</stp>
        <tr r="H223" s="1"/>
        <tr r="H115" s="1"/>
      </tp>
      <tp>
        <v>0.745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7.28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3.82</v>
        <stp/>
        <stp>ASK</stp>
        <stp>HIVE</stp>
        <tr r="H98" s="1"/>
      </tp>
      <tp t="s">
        <v>+0.09%</v>
        <stp/>
        <stp>MARK_PERCENT_CHANGE</stp>
        <stp>FJET</stp>
        <tr r="E195" s="1"/>
      </tp>
      <tp>
        <v>0.3901</v>
        <stp/>
        <stp>BID</stp>
        <stp>GSUN</stp>
        <tr r="G82" s="1"/>
      </tp>
      <tp>
        <v>5.09</v>
        <stp/>
        <stp>BID</stp>
        <stp>ASTI</stp>
        <tr r="G174" s="1"/>
        <tr r="G131" s="1"/>
      </tp>
      <tp>
        <v>1.97</v>
        <stp/>
        <stp>ASK</stp>
        <stp>AIXI</stp>
        <tr r="H130" s="1"/>
        <tr r="H179" s="1"/>
      </tp>
      <tp>
        <v>0.34920000000000001</v>
        <stp/>
        <stp>ASK</stp>
        <stp>BIYA</stp>
        <tr r="H71" s="1"/>
      </tp>
      <tp>
        <v>0.18010000000000001</v>
        <stp/>
        <stp>BID</stp>
        <stp>ZSPC</stp>
        <tr r="G69" s="1"/>
      </tp>
      <tp>
        <v>-0.08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7.83</v>
        <stp/>
        <stp>ASK</stp>
        <stp>TWI</stp>
        <tr r="H136" s="1"/>
      </tp>
      <tp>
        <v>0.8538</v>
        <stp/>
        <stp>ASK</stp>
        <stp>TRX</stp>
        <tr r="H97" s="1"/>
      </tp>
      <tp>
        <v>-4.4999999999999998E-2</v>
        <stp/>
        <stp>MARK_CHANGE</stp>
        <stp>IKT</stp>
        <tr r="D144" s="1"/>
      </tp>
      <tp>
        <v>0.12</v>
        <stp/>
        <stp>MARK_CHANGE</stp>
        <stp>INV</stp>
        <tr r="D163" s="1"/>
      </tp>
      <tp>
        <v>6.64</v>
        <stp/>
        <stp>BID</stp>
        <stp>CPIX</stp>
        <tr r="G180" s="1"/>
      </tp>
      <tp t="s">
        <v>+3.93%</v>
        <stp/>
        <stp>MARK_PERCENT_CHANGE</stp>
        <stp>BIYA</stp>
        <tr r="E71" s="1"/>
      </tp>
      <tp t="s">
        <v>-1.76%</v>
        <stp/>
        <stp>MARK_PERCENT_CHANGE</stp>
        <stp>AIXI</stp>
        <tr r="E179" s="1"/>
        <tr r="E130" s="1"/>
      </tp>
      <tp t="s">
        <v>BLAIZE HLDGS INC</v>
        <stp/>
        <stp>DESCRIPTION</stp>
        <stp>BZAI</stp>
        <tr r="B218" s="1"/>
      </tp>
      <tp>
        <v>5.42</v>
        <stp/>
        <stp>ASK</stp>
        <stp>FJET</stp>
        <tr r="H195" s="1"/>
      </tp>
      <tp>
        <v>4.3499999999999996</v>
        <stp/>
        <stp>BID</stp>
        <stp>OPEN</stp>
        <tr r="G101" s="1"/>
      </tp>
      <tp>
        <v>2</v>
        <stp/>
        <stp>BID</stp>
        <stp>RPGL</stp>
        <tr r="G76" s="1"/>
      </tp>
      <tp t="s">
        <v>-5.46%</v>
        <stp/>
        <stp>MARK_PERCENT_CHANGE</stp>
        <stp>HIVE</stp>
        <tr r="E98" s="1"/>
      </tp>
      <tp t="s">
        <v>-8.87%</v>
        <stp/>
        <stp>MARK_PERCENT_CHANGE</stp>
        <stp>KIDZ</stp>
        <tr r="E74" s="1"/>
      </tp>
      <tp t="s">
        <v>+5.36%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-0.42%</v>
        <stp/>
        <stp>MARK_PERCENT_CHANGE</stp>
        <stp>BIAF</stp>
        <tr r="E229" s="1"/>
      </tp>
      <tp>
        <v>2.4</v>
        <stp/>
        <stp>BID</stp>
        <stp>IPST</stp>
        <tr r="G182" s="1"/>
      </tp>
      <tp>
        <v>-0.22500000000000001</v>
        <stp/>
        <stp>MARK_CHANGE</stp>
        <stp>HTZ</stp>
        <tr r="D230" s="1"/>
      </tp>
      <tp t="s">
        <v>-2.49%</v>
        <stp/>
        <stp>MARK_PERCENT_CHANGE</stp>
        <stp>TWI</stp>
        <tr r="E136" s="1"/>
      </tp>
      <tp t="s">
        <v>-1.31%</v>
        <stp/>
        <stp>MARK_PERCENT_CHANGE</stp>
        <stp>TRX</stp>
        <tr r="E97" s="1"/>
      </tp>
      <tp>
        <v>-7.0000000000000007E-2</v>
        <stp/>
        <stp>MARK_CHANGE</stp>
        <stp>HLX</stp>
        <tr r="D150" s="1"/>
      </tp>
      <tp t="s">
        <v>-0.33%</v>
        <stp/>
        <stp>MARK_PERCENT_CHANGE</stp>
        <stp>SHLS</stp>
        <tr r="E155" s="1"/>
      </tp>
      <tp t="s">
        <v>9,018 M</v>
        <stp/>
        <stp>MARKET_CAP</stp>
        <stp>IBRX</stp>
        <tr r="I87" s="1"/>
      </tp>
      <tp>
        <v>2.52</v>
        <stp/>
        <stp>ASK</stp>
        <stp>JEM</stp>
        <tr r="H199" s="1"/>
      </tp>
      <tp t="s">
        <v>1,931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756 M</v>
        <stp/>
        <stp>MARKET_CAP</stp>
        <stp>ABTC</stp>
        <tr r="I106" s="1"/>
      </tp>
      <tp t="s">
        <v>3.5 M</v>
        <stp/>
        <stp>MARKET_CAP</stp>
        <stp>ABTS</stp>
        <tr r="I194" s="1"/>
      </tp>
      <tp t="s">
        <v>4.4 M</v>
        <stp/>
        <stp>MARKET_CAP</stp>
        <stp>WBUY</stp>
        <tr r="I204" s="1"/>
      </tp>
      <tp>
        <v>2</v>
        <stp/>
        <stp>BID</stp>
        <stp>IPW</stp>
        <tr r="G198" s="1"/>
      </tp>
      <tp>
        <v>5</v>
        <stp/>
        <stp>BID</stp>
        <stp>INV</stp>
        <tr r="G163" s="1"/>
      </tp>
      <tp t="s">
        <v>1,695 M</v>
        <stp/>
        <stp>MARKET_CAP</stp>
        <stp>BBAI</stp>
        <tr r="I84" s="1"/>
      </tp>
      <tp>
        <v>1.86</v>
        <stp/>
        <stp>BID</stp>
        <stp>IKT</stp>
        <tr r="G144" s="1"/>
      </tp>
      <tp t="s">
        <v>2,167 M</v>
        <stp/>
        <stp>MARKET_CAP</stp>
        <stp>JBLU</stp>
        <tr r="I151" s="1"/>
      </tp>
      <tp t="s">
        <v>6,712 M</v>
        <stp/>
        <stp>MARKET_CAP</stp>
        <stp>MBLY</stp>
        <tr r="I171" s="1"/>
      </tp>
      <tp>
        <v>1.87</v>
        <stp/>
        <stp>ASK</stp>
        <stp>BTBT</stp>
        <tr r="H100" s="1"/>
      </tp>
      <tp>
        <v>-6.8999999999999999E-3</v>
        <stp/>
        <stp>MARK_CHANGE</stp>
        <stp>ABTC</stp>
        <tr r="D106" s="1"/>
      </tp>
      <tp>
        <v>0</v>
        <stp/>
        <stp>MARK_CHANGE</stp>
        <stp>ABTS</stp>
        <tr r="D194" s="1"/>
      </tp>
      <tp>
        <v>1.27</v>
        <stp/>
        <stp>BID</stp>
        <stp>NNOX</stp>
        <tr r="G212" s="1"/>
      </tp>
      <tp>
        <v>2.87</v>
        <stp/>
        <stp>BID</stp>
        <stp>ANNA</stp>
        <tr r="G85" s="1"/>
      </tp>
      <tp>
        <v>-0.02</v>
        <stp/>
        <stp>MARK_CHANGE</stp>
        <stp>WBUY</stp>
        <tr r="D204" s="1"/>
      </tp>
      <tp>
        <v>-0.1</v>
        <stp/>
        <stp>MARK_CHANGE</stp>
        <stp>IBRX</stp>
        <tr r="D87" s="1"/>
      </tp>
      <tp>
        <v>0.51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3.45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11.74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0.95330000000000004</v>
        <stp/>
        <stp>BID</stp>
        <stp>QNCX</stp>
        <tr r="G154" s="1"/>
      </tp>
      <tp>
        <v>17.399999999999999</v>
        <stp/>
        <stp>ASK</stp>
        <stp>FTRE</stp>
        <tr r="H200" s="1"/>
      </tp>
      <tp>
        <v>10.7</v>
        <stp/>
        <stp>ASK</stp>
        <stp>NTSK</stp>
        <tr r="H224" s="1"/>
      </tp>
      <tp>
        <v>0.06</v>
        <stp/>
        <stp>MARK_CHANGE</stp>
        <stp>BBAI</stp>
        <tr r="D84" s="1"/>
      </tp>
      <tp>
        <v>4.3899999999999997</v>
        <stp/>
        <stp>BID</stp>
        <stp>ZNTL</stp>
        <tr r="G166" s="1"/>
      </tp>
      <tp>
        <v>7.44</v>
        <stp/>
        <stp>BID</stp>
        <stp>MNTS</stp>
        <tr r="G145" s="1"/>
      </tp>
      <tp>
        <v>-0.17499999999999999</v>
        <stp/>
        <stp>MARK_CHANGE</stp>
        <stp>JBLU</stp>
        <tr r="D151" s="1"/>
      </tp>
      <tp>
        <v>0.16</v>
        <stp/>
        <stp>MARK_CHANGE</stp>
        <stp>MBLY</stp>
        <tr r="D171" s="1"/>
      </tp>
      <tp>
        <v>1.42</v>
        <stp/>
        <stp>BID</stp>
        <stp>ENVB</stp>
        <tr r="G177" s="1"/>
      </tp>
      <tp>
        <v>5.95</v>
        <stp/>
        <stp>BID</stp>
        <stp>ENVX</stp>
        <tr r="G110" s="1"/>
      </tp>
      <tp>
        <v>0.50009999999999999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692 M</v>
        <stp/>
        <stp>MARKET_CAP</stp>
        <stp>ACRS</stp>
        <tr r="I135" s="1"/>
      </tp>
      <tp t="s">
        <v>+35.48%</v>
        <stp/>
        <stp>MARK_PERCENT_CHANGE</stp>
        <stp>JEM</stp>
        <tr r="E199" s="1"/>
      </tp>
      <tp t="s">
        <v>218 M</v>
        <stp/>
        <stp>MARKET_CAP</stp>
        <stp>GCTS</stp>
        <tr r="I149" s="1"/>
      </tp>
      <tp>
        <v>2.41</v>
        <stp/>
        <stp>BID</stp>
        <stp>HTZ</stp>
        <tr r="G230" s="1"/>
      </tp>
      <tp t="s">
        <v>7.1 M</v>
        <stp/>
        <stp>MARKET_CAP</stp>
        <stp>ACXP</stp>
        <tr r="I228" s="1"/>
      </tp>
      <tp t="s">
        <v>7.1 M</v>
        <stp/>
        <stp>MARKET_CAP</stp>
        <stp>YCBD</stp>
        <tr r="I176" s="1"/>
      </tp>
      <tp>
        <v>8.7899999999999991</v>
        <stp/>
        <stp>BID</stp>
        <stp>HLX</stp>
        <tr r="G150" s="1"/>
      </tp>
      <tp t="s">
        <v>30 M</v>
        <stp/>
        <stp>MARKET_CAP</stp>
        <stp>UCAR</stp>
        <tr r="I172" s="1"/>
      </tp>
      <tp t="s">
        <v>531 M</v>
        <stp/>
        <stp>MARKET_CAP</stp>
        <stp>OCGN</stp>
        <tr r="I147" s="1"/>
      </tp>
      <tp t="s">
        <v>1,058 M</v>
        <stp/>
        <stp>MARKET_CAP</stp>
        <stp>ACDC</stp>
        <tr r="I142" s="1"/>
      </tp>
      <tp t="s">
        <v>3,696 M</v>
        <stp/>
        <stp>MARKET_CAP</stp>
        <stp>ACHR</stp>
        <tr r="I107" s="1"/>
      </tp>
      <tp>
        <v>1.42</v>
        <stp/>
        <stp>ASK</stp>
        <stp>HUBC</stp>
        <tr r="H190" s="1"/>
      </tp>
      <tp>
        <v>2.99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5.66</v>
        <stp/>
        <stp>BID</stp>
        <stp>ROLR</stp>
        <tr r="G114" s="1"/>
      </tp>
      <tp>
        <v>4.4999999999999998E-2</v>
        <stp/>
        <stp>MARK_CHANGE</stp>
        <stp>GCTS</stp>
        <tr r="D149" s="1"/>
      </tp>
      <tp>
        <v>5.64</v>
        <stp/>
        <stp>ASK</stp>
        <stp>NUAI</stp>
        <tr r="H93" s="1"/>
      </tp>
      <tp>
        <v>0.4758</v>
        <stp/>
        <stp>BID</stp>
        <stp>EONR</stp>
        <tr r="G111" s="1"/>
      </tp>
      <tp>
        <v>-4.4999999999999998E-2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-2.53%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10.625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3.71</v>
        <stp/>
        <stp>ASK</stp>
        <stp>FULC</stp>
        <tr r="H164" s="1"/>
      </tp>
      <tp>
        <v>6.73</v>
        <stp/>
        <stp>ASK</stp>
        <stp>BULL</stp>
        <tr r="H89" s="1"/>
      </tp>
      <tp>
        <v>0.14000000000000001</v>
        <stp/>
        <stp>MARK_CHANGE</stp>
        <stp>ACXP</stp>
        <tr r="D228" s="1"/>
      </tp>
      <tp>
        <v>2.9049999999999998</v>
        <stp/>
        <stp>MARK</stp>
        <stp>GTM</stp>
        <tr r="C209" s="1"/>
      </tp>
      <tp>
        <v>0.65290000000000004</v>
        <stp/>
        <stp>BID</stp>
        <stp>LOBO</stp>
        <tr r="G75" s="1"/>
      </tp>
      <tp>
        <v>8.77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7.0000000000000007E-2</v>
        <stp/>
        <stp>MARK_CHANGE</stp>
        <stp>OCGN</stp>
        <tr r="D147" s="1"/>
      </tp>
      <tp>
        <v>0.02</v>
        <stp/>
        <stp>MARK_CHANGE</stp>
        <stp>ACDC</stp>
        <tr r="D142" s="1"/>
      </tp>
      <tp>
        <v>-1.49E-2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1.25</v>
        <stp/>
        <stp>ASK</stp>
        <stp>AUUD</stp>
        <tr r="H181" s="1"/>
      </tp>
      <tp>
        <v>-0.01</v>
        <stp/>
        <stp>MARK_CHANGE</stp>
        <stp>UCAR</stp>
        <tr r="D172" s="1"/>
      </tp>
      <tp>
        <v>6.37</v>
        <stp/>
        <stp>BID</stp>
        <stp>SOUN</stp>
        <tr r="G99" s="1"/>
      </tp>
      <tp>
        <v>4.04</v>
        <stp/>
        <stp>BID</stp>
        <stp>KOPN</stp>
        <tr r="G169" s="1"/>
      </tp>
      <tp>
        <v>6.01</v>
        <stp/>
        <stp>BID</stp>
        <stp>EOSE</stp>
        <tr r="G102" s="1"/>
      </tp>
      <tp>
        <v>-2.5000000000000001E-2</v>
        <stp/>
        <stp>MARK_CHANGE</stp>
        <stp>ACHR</stp>
        <tr r="D107" s="1"/>
      </tp>
      <tp>
        <v>0</v>
        <stp/>
        <stp>MARKET_CAP</stp>
        <stp>QVCGP</stp>
        <tr r="I191" s="1"/>
      </tp>
      <tp>
        <v>8.8000000000000007</v>
        <stp/>
        <stp>ASK</stp>
        <stp>HLX</stp>
        <tr r="H150" s="1"/>
      </tp>
      <tp t="s">
        <v>+2.46%</v>
        <stp/>
        <stp>MARK_PERCENT_CHANGE</stp>
        <stp>INV</stp>
        <tr r="E163" s="1"/>
      </tp>
      <tp t="s">
        <v>-2.36%</v>
        <stp/>
        <stp>MARK_PERCENT_CHANGE</stp>
        <stp>IKT</stp>
        <tr r="E144" s="1"/>
      </tp>
      <tp>
        <v>2.42</v>
        <stp/>
        <stp>ASK</stp>
        <stp>HTZ</stp>
        <tr r="H230" s="1"/>
      </tp>
      <tp t="s">
        <v>-3.81%</v>
        <stp/>
        <stp>MARK_PERCENT_CHANGE</stp>
        <stp>IPW</stp>
        <tr r="E198" s="1"/>
      </tp>
      <tp>
        <v>2.4</v>
        <stp/>
        <stp>BID</stp>
        <stp>GLND</stp>
        <tr r="G156" s="1"/>
      </tp>
      <tp>
        <v>1.4</v>
        <stp/>
        <stp>BID</stp>
        <stp>SLNH</stp>
        <tr r="G88" s="1"/>
        <tr r="G148" s="1"/>
      </tp>
      <tp>
        <v>1.55</v>
        <stp/>
        <stp>BID</stp>
        <stp>CLIK</stp>
        <tr r="G193" s="1"/>
      </tp>
      <tp>
        <v>7.9</v>
        <stp/>
        <stp>BID</stp>
        <stp>MLEC</stp>
        <tr r="G143" s="1"/>
      </tp>
      <tp t="s">
        <v>-1.58%</v>
        <stp/>
        <stp>MARK_PERCENT_CHANGE</stp>
        <stp>AUUD</stp>
        <tr r="E181" s="1"/>
      </tp>
      <tp>
        <v>3.86</v>
        <stp/>
        <stp>BID</stp>
        <stp>ELDN</stp>
        <tr r="G225" s="1"/>
      </tp>
      <tp>
        <v>2.6</v>
        <stp/>
        <stp>BID</stp>
        <stp>SLDP</stp>
        <tr r="G125" s="1"/>
      </tp>
      <tp>
        <v>1.72</v>
        <stp/>
        <stp>BID</stp>
        <stp>WLDS</stp>
        <tr r="G215" s="1"/>
      </tp>
      <tp>
        <v>1.2</v>
        <stp/>
        <stp>BID</stp>
        <stp>ELAB</stp>
        <tr r="G119" s="1"/>
      </tp>
      <tp>
        <v>0.47299999999999998</v>
        <stp/>
        <stp>BID</stp>
        <stp>SLAI</stp>
        <tr r="G81" s="1"/>
      </tp>
      <tp>
        <v>7.7</v>
        <stp/>
        <stp>BID</stp>
        <stp>ULCC</stp>
        <tr r="G153" s="1"/>
      </tp>
      <tp t="s">
        <v>-1.32%</v>
        <stp/>
        <stp>MARK_PERCENT_CHANGE</stp>
        <stp>BULL</stp>
        <tr r="E89" s="1"/>
      </tp>
      <tp t="s">
        <v>-2.63%</v>
        <stp/>
        <stp>MARK_PERCENT_CHANGE</stp>
        <stp>FULC</stp>
        <tr r="E164" s="1"/>
      </tp>
      <tp>
        <v>10.029999999999999</v>
        <stp/>
        <stp>ASK</stp>
        <stp>AVTR</stp>
        <tr r="H211" s="1"/>
      </tp>
      <tp>
        <v>2.57</v>
        <stp/>
        <stp>BID</stp>
        <stp>PLUG</stp>
        <tr r="G104" s="1"/>
      </tp>
      <tp t="s">
        <v>-4.90%</v>
        <stp/>
        <stp>MARK_PERCENT_CHANGE</stp>
        <stp>NUAI</stp>
        <tr r="E93" s="1"/>
      </tp>
      <tp>
        <v>0.91</v>
        <stp/>
        <stp>BID</stp>
        <stp>ELPW</stp>
        <tr r="G201" s="1"/>
        <tr r="G73" s="1"/>
      </tp>
      <tp t="s">
        <v>-1.41%</v>
        <stp/>
        <stp>MARK_PERCENT_CHANGE</stp>
        <stp>HUBC</stp>
        <tr r="E190" s="1"/>
      </tp>
      <tp>
        <v>459432</v>
        <stp/>
        <stp>VOLUME</stp>
        <stp>GPK</stp>
        <tr r="F140" s="1"/>
      </tp>
      <tp>
        <v>959404</v>
        <stp/>
        <stp>VOLUME</stp>
        <stp>GTM</stp>
        <tr r="F209" s="1"/>
      </tp>
      <tp>
        <v>-1.1299999999999999E-2</v>
        <stp/>
        <stp>MARK_CHANGE</stp>
        <stp>TRX</stp>
        <tr r="D97" s="1"/>
      </tp>
      <tp t="s">
        <v>50 M</v>
        <stp/>
        <stp>MARKET_CAP</stp>
        <stp>UAVS</stp>
        <tr r="I96" s="1"/>
      </tp>
      <tp t="s">
        <v>3.2 M</v>
        <stp/>
        <stp>MARKET_CAP</stp>
        <stp>PAVS</stp>
        <tr r="I216" s="1"/>
      </tp>
      <tp>
        <v>-0.2</v>
        <stp/>
        <stp>MARK_CHANGE</stp>
        <stp>TWI</stp>
        <tr r="D136" s="1"/>
      </tp>
      <tp t="s">
        <v>5,642 M</v>
        <stp/>
        <stp>MARKET_CAP</stp>
        <stp>PATH</stp>
        <tr r="I210" s="1"/>
      </tp>
      <tp t="s">
        <v>29 M</v>
        <stp/>
        <stp>MARKET_CAP</stp>
        <stp>BATL</stp>
        <tr r="I121" s="1"/>
      </tp>
      <tp t="s">
        <v>755 M</v>
        <stp/>
        <stp>MARKET_CAP</stp>
        <stp>SATL</stp>
        <tr r="I86" s="1"/>
      </tp>
      <tp>
        <v>5.03</v>
        <stp/>
        <stp>ASK</stp>
        <stp>INV</stp>
        <tr r="H163" s="1"/>
      </tp>
      <tp t="s">
        <v>-0.79%</v>
        <stp/>
        <stp>MARK_PERCENT_CHANGE</stp>
        <stp>HLX</stp>
        <tr r="E150" s="1"/>
      </tp>
      <tp>
        <v>1.87</v>
        <stp/>
        <stp>ASK</stp>
        <stp>IKT</stp>
        <tr r="H144" s="1"/>
      </tp>
      <tp t="s">
        <v>547 M</v>
        <stp/>
        <stp>MARKET_CAP</stp>
        <stp>PACB</stp>
        <tr r="I226" s="1"/>
      </tp>
      <tp t="s">
        <v>-8.52%</v>
        <stp/>
        <stp>MARK_PERCENT_CHANGE</stp>
        <stp>HTZ</stp>
        <tr r="E230" s="1"/>
      </tp>
      <tp>
        <v>2.06</v>
        <stp/>
        <stp>ASK</stp>
        <stp>IPW</stp>
        <tr r="H198" s="1"/>
      </tp>
      <tp t="s">
        <v>696 M</v>
        <stp/>
        <stp>MARKET_CAP</stp>
        <stp>LAES</stp>
        <tr r="I83" s="1"/>
      </tp>
      <tp>
        <v>2.4700000000000002</v>
        <stp/>
        <stp>BID</stp>
        <stp>JEM</stp>
        <tr r="G199" s="1"/>
      </tp>
      <tp t="s">
        <v>41 M</v>
        <stp/>
        <stp>MARKET_CAP</stp>
        <stp>GAME</stp>
        <tr r="I80" s="1"/>
      </tp>
      <tp>
        <v>-1.15E-2</v>
        <stp/>
        <stp>MARK_CHANGE</stp>
        <stp>UAVS</stp>
        <tr r="D96" s="1"/>
      </tp>
      <tp>
        <v>6.2169999999999996</v>
        <stp/>
        <stp>MARK_CHANGE</stp>
        <stp>PAVS</stp>
        <tr r="D216" s="1"/>
      </tp>
      <tp>
        <v>0.36</v>
        <stp/>
        <stp>MARK_CHANGE</stp>
        <stp>PATH</stp>
        <tr r="D210" s="1"/>
      </tp>
      <tp>
        <v>7.0099999999999996E-2</v>
        <stp/>
        <stp>MARK_CHANGE</stp>
        <stp>BATL</stp>
        <tr r="D121" s="1"/>
      </tp>
      <tp>
        <v>0.47</v>
        <stp/>
        <stp>MARK_CHANGE</stp>
        <stp>SATL</stp>
        <tr r="D86" s="1"/>
      </tp>
      <tp>
        <v>2.08</v>
        <stp/>
        <stp>BID</stp>
        <stp>CMND</stp>
        <tr r="G77" s="1"/>
      </tp>
      <tp>
        <v>0.61209999999999998</v>
        <stp/>
        <stp>BID</stp>
        <stp>PMEC</stp>
        <tr r="G129" s="1"/>
      </tp>
      <tp>
        <v>0.72089999999999999</v>
        <stp/>
        <stp>BID</stp>
        <stp>TMDE</stp>
        <tr r="G116" s="1"/>
      </tp>
      <tp>
        <v>7.77</v>
        <stp/>
        <stp>BID</stp>
        <stp>NMAX</stp>
        <tr r="G78" s="1"/>
        <tr r="G185" s="1"/>
      </tp>
      <tp t="s">
        <v>+3.98%</v>
        <stp/>
        <stp>MARK_PERCENT_CHANGE</stp>
        <stp>NTSK</stp>
        <tr r="E224" s="1"/>
      </tp>
      <tp>
        <v>4.53</v>
        <stp/>
        <stp>BID</stp>
        <stp>AMBP</stp>
        <tr r="G159" s="1"/>
      </tp>
      <tp t="s">
        <v>-1.47%</v>
        <stp/>
        <stp>MARK_PERCENT_CHANGE</stp>
        <stp>FTRE</stp>
        <tr r="E200" s="1"/>
      </tp>
      <tp t="s">
        <v>-1.84%</v>
        <stp/>
        <stp>MARK_PERCENT_CHANGE</stp>
        <stp>CTOS</stp>
        <tr r="E157" s="1"/>
      </tp>
      <tp>
        <v>5.0000000000000001E-3</v>
        <stp/>
        <stp>MARK_CHANGE</stp>
        <stp>LAES</stp>
        <tr r="D83" s="1"/>
      </tp>
      <tp t="s">
        <v>AXE COMPUTE INC</v>
        <stp/>
        <stp>DESCRIPTION</stp>
        <stp>AGPU</stp>
        <tr r="B184" s="1"/>
        <tr r="B70" s="1"/>
      </tp>
      <tp>
        <v>0.1123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1.11E-2</v>
        <stp/>
        <stp>MARK_CHANGE</stp>
        <stp>GAME</stp>
        <tr r="D80" s="1"/>
      </tp>
      <tp>
        <v>14.39</v>
        <stp/>
        <stp>BID</stp>
        <stp>CMPS</stp>
        <tr r="G137" s="1"/>
      </tp>
      <tp>
        <v>0.46500000000000002</v>
        <stp/>
        <stp>BID</stp>
        <stp>RMSG</stp>
        <tr r="G202" s="1"/>
      </tp>
      <tp>
        <v>6.96</v>
        <stp/>
        <stp>BID</stp>
        <stp>IMSR</stp>
        <tr r="G127" s="1"/>
      </tp>
      <tp t="s">
        <v>-6.53%</v>
        <stp/>
        <stp>MARK_PERCENT_CHANGE</stp>
        <stp>BTBT</stp>
        <tr r="E100" s="1"/>
      </tp>
      <tp>
        <v>-0.01</v>
        <stp/>
        <stp>MARK_CHANGE</stp>
        <stp>SST</stp>
        <tr r="D178" s="1"/>
      </tp>
      <tp>
        <v>0.22</v>
        <stp/>
        <stp>MARK_CHANGE</stp>
        <stp>SPT</stp>
        <tr r="D219" s="1"/>
      </tp>
      <tp>
        <v>2.36</v>
        <stp/>
        <stp>ASK</stp>
        <stp>NPT</stp>
        <tr r="H183" s="1"/>
      </tp>
      <tp t="s">
        <v>PSYENCE BIOMEDICAL L</v>
        <stp/>
        <stp>DESCRIPTION</stp>
        <stp>PBM</stp>
        <tr r="B213" s="1"/>
        <tr r="B79" s="1"/>
      </tp>
      <tp>
        <v>4.2799999999999998E-2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-1.4999999999999999E-2</v>
        <stp/>
        <stp>MARK_CHANGE</stp>
        <stp>SMX</stp>
        <tr r="D118" s="1"/>
      </tp>
      <tp>
        <v>2.1</v>
        <stp/>
        <stp>ASK</stp>
        <stp>RPGL</stp>
        <tr r="H76" s="1"/>
      </tp>
      <tp>
        <v>4.3600000000000003</v>
        <stp/>
        <stp>ASK</stp>
        <stp>OPEN</stp>
        <tr r="H101" s="1"/>
      </tp>
      <tp t="s">
        <v>+5.13%</v>
        <stp/>
        <stp>MARK_PERCENT_CHANGE</stp>
        <stp>GSUN</stp>
        <tr r="E82" s="1"/>
      </tp>
      <tp>
        <v>5.39</v>
        <stp/>
        <stp>BID</stp>
        <stp>FJET</stp>
        <tr r="G195" s="1"/>
      </tp>
      <tp t="s">
        <v>+5.90%</v>
        <stp/>
        <stp>MARK_PERCENT_CHANGE</stp>
        <stp>ASTI</stp>
        <tr r="E131" s="1"/>
        <tr r="E174" s="1"/>
      </tp>
      <tp>
        <v>6.86</v>
        <stp/>
        <stp>ASK</stp>
        <stp>CPIX</stp>
        <tr r="H180" s="1"/>
      </tp>
      <tp t="s">
        <v>+0.06%</v>
        <stp/>
        <stp>MARK_PERCENT_CHANGE</stp>
        <stp>ZSPC</stp>
        <tr r="E69" s="1"/>
      </tp>
      <tp>
        <v>3.81</v>
        <stp/>
        <stp>MARK</stp>
        <stp>BTG</stp>
        <tr r="C139" s="1"/>
      </tp>
      <tp>
        <v>2.4500000000000002</v>
        <stp/>
        <stp>ASK</stp>
        <stp>IPST</stp>
        <tr r="H182" s="1"/>
      </tp>
      <tp t="s">
        <v>-4.24%</v>
        <stp/>
        <stp>MARK_PERCENT_CHANGE</stp>
        <stp>GSIT</stp>
        <tr r="E217" s="1"/>
      </tp>
      <tp t="s">
        <v>+4.59%</v>
        <stp/>
        <stp>MARK_PERCENT_CHANGE</stp>
        <stp>ASAN</stp>
        <tr r="E196" s="1"/>
      </tp>
      <tp>
        <v>77030</v>
        <stp/>
        <stp>VOLUME</stp>
        <stp>ACB</stp>
        <tr r="F222" s="1"/>
      </tp>
      <tp>
        <v>471250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78 M</v>
        <stp/>
        <stp>MARKET_CAP</stp>
        <stp>AGPU</stp>
        <tr r="I184" s="1"/>
        <tr r="I70" s="1"/>
      </tp>
      <tp>
        <v>3.93</v>
        <stp/>
        <stp>BID</stp>
        <stp>LPL</stp>
        <tr r="G186" s="1"/>
      </tp>
      <tp>
        <v>-0.04</v>
        <stp/>
        <stp>MARK_CHANGE</stp>
        <stp>RES</stp>
        <tr r="D165" s="1"/>
      </tp>
      <tp t="s">
        <v>+2.16%</v>
        <stp/>
        <stp>MARK_PERCENT_CHANGE</stp>
        <stp>NPT</stp>
        <tr r="E183" s="1"/>
      </tp>
      <tp>
        <v>3.77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3.3</v>
        <stp/>
        <stp>MARK</stp>
        <stp>CYH</stp>
        <tr r="C109" s="1"/>
      </tp>
      <tp>
        <v>5.3</v>
        <stp/>
        <stp>MARK</stp>
        <stp>CXM</stp>
        <tr r="C206" s="1"/>
      </tp>
      <tp>
        <v>0</v>
        <stp/>
        <stp>MARK_CHANGE</stp>
        <stp>UGRO</stp>
        <tr r="D117" s="1"/>
      </tp>
      <tp>
        <v>0.01</v>
        <stp/>
        <stp>MARK_CHANGE</stp>
        <stp>AGPU</stp>
        <tr r="D70" s="1"/>
        <tr r="D184" s="1"/>
      </tp>
      <tp t="s">
        <v>-2.94%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+2.34%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+2.37%</v>
        <stp/>
        <stp>MARK_PERCENT_CHANGE</stp>
        <stp>FRMI</stp>
        <tr r="E158" s="1"/>
      </tp>
      <tp t="s">
        <v>UIPATH INC Class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A</v>
        <stp/>
        <stp>DESCRIPTION</stp>
        <stp>PAVS</stp>
        <tr r="B216" s="1"/>
      </tp>
      <tp t="s">
        <v>-3.50%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-3.56%</v>
        <stp/>
        <stp>MARK_PERCENT_CHANGE</stp>
        <stp>LRHC</stp>
        <tr r="E187" s="1"/>
      </tp>
      <tp t="s">
        <v>-0.98%</v>
        <stp/>
        <stp>MARK_PERCENT_CHANGE</stp>
        <stp>KREF</stp>
        <tr r="E188" s="1"/>
      </tp>
      <tp t="s">
        <v>+8.47%</v>
        <stp/>
        <stp>MARK_PERCENT_CHANGE</stp>
        <stp>SRFM</stp>
        <tr r="E95" s="1"/>
        <tr r="E232" s="1"/>
      </tp>
      <tp t="s">
        <v>-2.70%</v>
        <stp/>
        <stp>MARK_PERCENT_CHANGE</stp>
        <stp>ORBS</stp>
        <tr r="E92" s="1"/>
      </tp>
      <tp>
        <v>3.78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3.94</v>
        <stp/>
        <stp>ASK</stp>
        <stp>LPL</stp>
        <tr r="H186" s="1"/>
      </tp>
      <tp t="s">
        <v>9.2 M</v>
        <stp/>
        <stp>MARKET_CAP</stp>
        <stp>TDIC</stp>
        <tr r="I168" s="1"/>
      </tp>
      <tp t="s">
        <v>28 M</v>
        <stp/>
        <stp>MARKET_CAP</stp>
        <stp>CDLX</stp>
        <tr r="I146" s="1"/>
      </tp>
      <tp t="s">
        <v>38 M</v>
        <stp/>
        <stp>MARKET_CAP</stp>
        <stp>BDMD</stp>
        <tr r="I141" s="1"/>
      </tp>
      <tp>
        <v>0.71699999999999997</v>
        <stp/>
        <stp>ASK</stp>
        <stp>ORBS</stp>
        <tr r="H92" s="1"/>
      </tp>
      <tp>
        <v>8.9600000000000009</v>
        <stp/>
        <stp>BID</stp>
        <stp>SHLS</stp>
        <tr r="G155" s="1"/>
      </tp>
      <tp>
        <v>0.98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7.11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1.07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1.52</v>
        <stp/>
        <stp>ASK</stp>
        <stp>TRON</stp>
        <tr r="H208" s="1"/>
      </tp>
      <tp>
        <v>9.7200000000000006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10.09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0.4637</v>
        <stp/>
        <stp>ASK</stp>
        <stp>PRZO</stp>
        <tr r="H124" s="1"/>
      </tp>
      <tp>
        <v>0.17</v>
        <stp/>
        <stp>MARK_CHANGE</stp>
        <stp>CDLX</stp>
        <tr r="D146" s="1"/>
      </tp>
      <tp>
        <v>0.14000000000000001</v>
        <stp/>
        <stp>MARK_CHANGE</stp>
        <stp>BDMD</stp>
        <tr r="D141" s="1"/>
      </tp>
      <tp>
        <v>0.27</v>
        <stp/>
        <stp>MARK_CHANGE</stp>
        <stp>TDIC</stp>
        <tr r="D168" s="1"/>
      </tp>
      <tp>
        <v>286291</v>
        <stp/>
        <stp>VOLUME</stp>
        <stp>CXM</stp>
        <tr r="F206" s="1"/>
      </tp>
      <tp>
        <v>75292</v>
        <stp/>
        <stp>VOLUME</stp>
        <stp>CYH</stp>
        <tr r="F109" s="1"/>
      </tp>
      <tp t="s">
        <v>952 M</v>
        <stp/>
        <stp>MARKET_CAP</stp>
        <stp>REPL</stp>
        <tr r="I122" s="1"/>
        <tr r="I175" s="1"/>
      </tp>
      <tp t="s">
        <v>SPROUT SOCIAL INC A</v>
        <stp/>
        <stp>DESCRIPTION</stp>
        <stp>SPT</stp>
        <tr r="B219" s="1"/>
      </tp>
      <tp t="s">
        <v>-0.40%</v>
        <stp/>
        <stp>MARK_PERCENT_CHANGE</stp>
        <stp>LAC</stp>
        <tr r="E90" s="1"/>
      </tp>
      <tp t="s">
        <v>21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2.2999999999999998</v>
        <stp/>
        <stp>BID</stp>
        <stp>NPT</stp>
        <tr r="G183" s="1"/>
      </tp>
      <tp>
        <v>0.1</v>
        <stp/>
        <stp>MARK_CHANGE</stp>
        <stp>PBM</stp>
        <tr r="D79" s="1"/>
        <tr r="D213" s="1"/>
      </tp>
      <tp>
        <v>-0.21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18 M</v>
        <stp/>
        <stp>MARKET_CAP</stp>
        <stp>RECT</stp>
        <tr r="I133" s="1"/>
      </tp>
      <tp t="s">
        <v>485 M</v>
        <stp/>
        <stp>MARKET_CAP</stp>
        <stp>WEAV</stp>
        <tr r="I220" s="1"/>
      </tp>
      <tp t="s">
        <v>+2.47%</v>
        <stp/>
        <stp>MARK_PERCENT_CHANGE</stp>
        <stp>LPL</stp>
        <tr r="E186" s="1"/>
      </tp>
      <tp t="s">
        <v>3,439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5.1 M</v>
        <stp/>
        <stp>MARKET_CAP</stp>
        <stp>EEIQ</stp>
        <tr r="I221" s="1"/>
      </tp>
      <tp t="s">
        <v>142 M</v>
        <stp/>
        <stp>MARKET_CAP</stp>
        <stp>ZENA</stp>
        <tr r="I123" s="1"/>
      </tp>
      <tp t="s">
        <v>4.8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-0.09</v>
        <stp/>
        <stp>MARK_CHANGE</stp>
        <stp>RETO</stp>
        <tr r="D72" s="1"/>
      </tp>
      <tp>
        <v>7.29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-0.1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2.74</v>
        <stp/>
        <stp>BID</stp>
        <stp>SIDU</stp>
        <tr r="G223" s="1"/>
        <tr r="G115" s="1"/>
      </tp>
      <tp>
        <v>0.72009999999999996</v>
        <stp/>
        <stp>BID</stp>
        <stp>KIDZ</stp>
        <tr r="G74" s="1"/>
      </tp>
      <tp>
        <v>6.56</v>
        <stp/>
        <stp>ASK</stp>
        <stp>GSIT</stp>
        <tr r="H217" s="1"/>
      </tp>
      <tp>
        <v>0.82609999999999995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-4.74%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0.2</v>
        <stp/>
        <stp>ASK</stp>
        <stp>ZSPC</stp>
        <tr r="H69" s="1"/>
      </tp>
      <tp>
        <v>-0.33500000000000002</v>
        <stp/>
        <stp>MARK_CHANGE</stp>
        <stp>KEEL</stp>
        <tr r="D173" s="1"/>
        <tr r="D128" s="1"/>
      </tp>
      <tp>
        <v>0.34429999999999999</v>
        <stp/>
        <stp>BID</stp>
        <stp>BIYA</stp>
        <tr r="G71" s="1"/>
      </tp>
      <tp t="s">
        <v>+0.74%</v>
        <stp/>
        <stp>MARK_PERCENT_CHANGE</stp>
        <stp>CPIX</stp>
        <tr r="E180" s="1"/>
      </tp>
      <tp>
        <v>1.95</v>
        <stp/>
        <stp>BID</stp>
        <stp>AIXI</stp>
        <tr r="G130" s="1"/>
        <tr r="G179" s="1"/>
      </tp>
      <tp>
        <v>0.01</v>
        <stp/>
        <stp>MARK_CHANGE</stp>
        <stp>RECT</stp>
        <tr r="D133" s="1"/>
      </tp>
      <tp>
        <v>5.17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2.855</v>
        <stp/>
        <stp>MARK</stp>
        <stp>ALT</stp>
        <tr r="C189" s="1"/>
      </tp>
      <tp>
        <v>0.41499999999999998</v>
        <stp/>
        <stp>ASK</stp>
        <stp>GSUN</stp>
        <tr r="H82" s="1"/>
      </tp>
      <tp>
        <v>0.18</v>
        <stp/>
        <stp>MARK_CHANGE</stp>
        <stp>WEAV</stp>
        <tr r="D220" s="1"/>
      </tp>
      <tp>
        <v>2.86</v>
        <stp/>
        <stp>MARK</stp>
        <stp>ACB</stp>
        <tr r="C222" s="1"/>
      </tp>
      <tp>
        <v>7.0000000000000007E-2</v>
        <stp/>
        <stp>MARK_CHANGE</stp>
        <stp>ZENA</stp>
        <tr r="D123" s="1"/>
      </tp>
      <tp t="s">
        <v>-0.23%</v>
        <stp/>
        <stp>MARK_PERCENT_CHANGE</stp>
        <stp>OPEN</stp>
        <tr r="E101" s="1"/>
      </tp>
      <tp>
        <v>0.01</v>
        <stp/>
        <stp>MARK_CHANGE</stp>
        <stp>RENX</stp>
        <tr r="D162" s="1"/>
      </tp>
      <tp t="s">
        <v>+2.56%</v>
        <stp/>
        <stp>MARK_PERCENT_CHANGE</stp>
        <stp>RPGL</stp>
        <tr r="E76" s="1"/>
      </tp>
      <tp>
        <v>3.81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7.2499999999999995E-2</v>
        <stp/>
        <stp>MARK_CHANGE</stp>
        <stp>EEIQ</stp>
        <tr r="D221" s="1"/>
      </tp>
      <tp>
        <v>5555795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3.81</v>
        <stp/>
        <stp>ASK</stp>
        <stp>BTG</stp>
        <tr r="H139" s="1"/>
      </tp>
      <tp>
        <v>2.85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32" s="1"/>
        <tr r="B170" s="1"/>
      </tp>
      <tp t="s">
        <v>RICHTECH ROBOTICS IN B</v>
        <stp/>
        <stp>DESCRIPTION</stp>
        <stp>RR</stp>
        <tr r="B103" s="1"/>
      </tp>
      <tp t="s">
        <v>268 M</v>
        <stp/>
        <stp>MARKET_CAP</stp>
        <stp>FJET</stp>
        <tr r="I195" s="1"/>
      </tp>
      <tp>
        <v>2.86</v>
        <stp/>
        <stp>BID</stp>
        <stp>ACB</stp>
        <tr r="G222" s="1"/>
      </tp>
      <tp t="s">
        <v>+0.61%</v>
        <stp/>
        <stp>MARK_PERCENT_CHANGE</stp>
        <stp>CYH</stp>
        <tr r="E109" s="1"/>
      </tp>
      <tp t="s">
        <v>+2.71%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88" s="1"/>
        <tr r="B148" s="1"/>
      </tp>
      <tp t="s">
        <v>GREENLAND ENERGY CO</v>
        <stp/>
        <stp>DESCRIPTION</stp>
        <stp>GLND</stp>
        <tr r="B156" s="1"/>
      </tp>
      <tp>
        <v>2.36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5.0000000000000001E-3</v>
        <stp/>
        <stp>MARK_CHANGE</stp>
        <stp>FJET</stp>
        <tr r="D195" s="1"/>
      </tp>
      <tp t="s">
        <v>ELONG PWR HLDG LTD A</v>
        <stp/>
        <stp>DESCRIPTION</stp>
        <stp>ELPW</stp>
        <tr r="B73" s="1"/>
        <tr r="B201" s="1"/>
      </tp>
      <tp t="s">
        <v>-3.30%</v>
        <stp/>
        <stp>MARK_PERCENT_CHANGE</stp>
        <stp>BTG</stp>
        <tr r="E139" s="1"/>
      </tp>
      <tp>
        <v>5.31</v>
        <stp/>
        <stp>ASK</stp>
        <stp>CXM</stp>
        <tr r="H206" s="1"/>
      </tp>
      <tp>
        <v>3.31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7.13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1196293</v>
        <stp/>
        <stp>VOLUME</stp>
        <stp>LAC</stp>
        <tr r="F90" s="1"/>
      </tp>
      <tp>
        <v>146500</v>
        <stp/>
        <stp>VOLUME</stp>
        <stp>LPL</stp>
        <tr r="F186" s="1"/>
      </tp>
      <tp t="s">
        <v>+1.06%</v>
        <stp/>
        <stp>MARK_PERCENT_CHANGE</stp>
        <stp>ACB</stp>
        <tr r="E222" s="1"/>
      </tp>
      <tp>
        <v>5.3</v>
        <stp/>
        <stp>BID</stp>
        <stp>CXM</stp>
        <tr r="G206" s="1"/>
      </tp>
      <tp>
        <v>3.3</v>
        <stp/>
        <stp>BID</stp>
        <stp>CYH</stp>
        <tr r="G109" s="1"/>
      </tp>
      <tp t="s">
        <v>+1.24%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1,505 M</v>
        <stp/>
        <stp>MARKET_CAP</stp>
        <stp>SHLS</stp>
        <tr r="I155" s="1"/>
      </tp>
      <tp>
        <v>1.48</v>
        <stp/>
        <stp>MARK</stp>
        <stp>ADSLF</stp>
        <tr r="C108" s="1"/>
      </tp>
      <tp>
        <v>1.1599999999999999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4.8499999999999996</v>
        <stp/>
        <stp>BID</stp>
        <stp>CDLX</stp>
        <tr r="G146" s="1"/>
      </tp>
      <tp>
        <v>5.95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3.9350000000000001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3.7749999999999999</v>
        <stp/>
        <stp>MARK</stp>
        <stp>LAC</stp>
        <tr r="C90" s="1"/>
      </tp>
      <tp>
        <v>-0.03</v>
        <stp/>
        <stp>MARK_CHANGE</stp>
        <stp>SHLS</stp>
        <tr r="D155" s="1"/>
      </tp>
      <tp t="s">
        <v>1,019 M</v>
        <stp/>
        <stp>MARKET_CAP</stp>
        <stp>HIVE</stp>
        <tr r="I98" s="1"/>
      </tp>
      <tp>
        <v>2.87</v>
        <stp/>
        <stp>ASK</stp>
        <stp>ACB</stp>
        <tr r="H222" s="1"/>
      </tp>
      <tp>
        <v>2.86</v>
        <stp/>
        <stp>ASK</stp>
        <stp>ALT</stp>
        <tr r="H189" s="1"/>
      </tp>
      <tp t="s">
        <v>+4.12%</v>
        <stp/>
        <stp>MARK_PERCENT_CHANGE</stp>
        <stp>RR</stp>
        <tr r="E103" s="1"/>
      </tp>
      <tp t="s">
        <v>+1.40%</v>
        <stp/>
        <stp>MARK_PERCENT_CHANGE</stp>
        <stp>QS</stp>
        <tr r="E132" s="1"/>
        <tr r="E170" s="1"/>
      </tp>
      <tp>
        <v>3.8</v>
        <stp/>
        <stp>BID</stp>
        <stp>BTG</stp>
        <tr r="G139" s="1"/>
      </tp>
      <tp t="s">
        <v>1.8 M</v>
        <stp/>
        <stp>MARKET_CAP</stp>
        <stp>AIXI</stp>
        <tr r="I130" s="1"/>
        <tr r="I179" s="1"/>
      </tp>
      <tp t="s">
        <v>+3.58%</v>
        <stp/>
        <stp>MARK_PERCENT_CHANGE</stp>
        <stp>PD</stp>
        <tr r="E231" s="1"/>
      </tp>
      <tp t="s">
        <v>1.4 M</v>
        <stp/>
        <stp>MARKET_CAP</stp>
        <stp>BIYA</stp>
        <tr r="I71" s="1"/>
      </tp>
      <tp t="s">
        <v>+4.26%</v>
        <stp/>
        <stp>MARK_PERCENT_CHANGE</stp>
        <stp>TE</stp>
        <tr r="E94" s="1"/>
      </tp>
      <tp t="s">
        <v>5.2 M</v>
        <stp/>
        <stp>MARKET_CAP</stp>
        <stp>BIAF</stp>
        <tr r="I229" s="1"/>
      </tp>
      <tp t="s">
        <v>-2.80%</v>
        <stp/>
        <stp>MARK_PERCENT_CHANGE</stp>
        <stp>MX</stp>
        <tr r="E113" s="1"/>
      </tp>
      <tp t="s">
        <v>268 M</v>
        <stp/>
        <stp>MARKET_CAP</stp>
        <stp>SIDU</stp>
        <tr r="I223" s="1"/>
        <tr r="I115" s="1"/>
      </tp>
      <tp t="s">
        <v>0.59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1.0740000000000001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-1.85%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-0.22</v>
        <stp/>
        <stp>MARK_CHANGE</stp>
        <stp>HIVE</stp>
        <tr r="D98" s="1"/>
      </tp>
      <tp>
        <v>1.62</v>
        <stp/>
        <stp>BID</stp>
        <stp>ZENA</stp>
        <tr r="G123" s="1"/>
      </tp>
      <tp>
        <v>1.81</v>
        <stp/>
        <stp>BID</stp>
        <stp>RENX</stp>
        <tr r="G162" s="1"/>
      </tp>
      <tp>
        <v>3.01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5.69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6.09</v>
        <stp/>
        <stp>BID</stp>
        <stp>WEAV</stp>
        <tr r="G220" s="1"/>
      </tp>
      <tp>
        <v>-3.49E-2</v>
        <stp/>
        <stp>MARK_CHANGE</stp>
        <stp>AIXI</stp>
        <tr r="D179" s="1"/>
        <tr r="D130" s="1"/>
      </tp>
      <tp>
        <v>1.21</v>
        <stp/>
        <stp>BID</stp>
        <stp>RECT</stp>
        <tr r="G133" s="1"/>
      </tp>
      <tp>
        <v>1.32E-2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0.14000000000000001</v>
        <stp/>
        <stp>MARK_CHANGE</stp>
        <stp>SIDU</stp>
        <tr r="D223" s="1"/>
        <tr r="D115" s="1"/>
      </tp>
      <tp>
        <v>-7.2499999999999995E-2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-3.5000000000000001E-3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2.5</v>
        <stp/>
        <stp>BID</stp>
        <stp>RETO</stp>
        <tr r="G72" s="1"/>
      </tp>
      <tp>
        <v>11.52</v>
        <stp/>
        <stp>BID</stp>
        <stp>REPL</stp>
        <tr r="G122" s="1"/>
        <tr r="G175" s="1"/>
      </tp>
      <tp>
        <v>4262</v>
        <stp/>
        <stp>VOLUME</stp>
        <stp>NPT</stp>
        <tr r="F183" s="1"/>
      </tp>
      <tp t="s">
        <v>5.6 M</v>
        <stp/>
        <stp>MARKET_CAP</stp>
        <stp>GNPX</stp>
        <tr r="I160" s="1"/>
      </tp>
      <tp t="s">
        <v>5.8 M</v>
        <stp/>
        <stp>MARKET_CAP</stp>
        <stp>ENVB</stp>
        <tr r="I177" s="1"/>
      </tp>
      <tp t="s">
        <v>1,299 M</v>
        <stp/>
        <stp>MARKET_CAP</stp>
        <stp>ENVX</stp>
        <tr r="I110" s="1"/>
      </tp>
      <tp t="s">
        <v>313 M</v>
        <stp/>
        <stp>MARKET_CAP</stp>
        <stp>ZNTL</stp>
        <tr r="I166" s="1"/>
      </tp>
      <tp t="s">
        <v>141 M</v>
        <stp/>
        <stp>MARKET_CAP</stp>
        <stp>MNTS</stp>
        <tr r="I145" s="1"/>
      </tp>
      <tp t="s">
        <v>19 M</v>
        <stp/>
        <stp>MARKET_CAP</stp>
        <stp>QNCX</stp>
        <tr r="I154" s="1"/>
      </tp>
      <tp t="s">
        <v>+0.52%</v>
        <stp/>
        <stp>MARK_PERCENT_CHANGE</stp>
        <stp>GTM</stp>
        <tr r="E209" s="1"/>
      </tp>
      <tp t="s">
        <v>729 M</v>
        <stp/>
        <stp>MARKET_CAP</stp>
        <stp>INDI</stp>
        <tr r="I161" s="1"/>
      </tp>
      <tp t="s">
        <v>-3.50%</v>
        <stp/>
        <stp>MARK_PERCENT_CHANGE</stp>
        <stp>GPK</stp>
        <tr r="E140" s="1"/>
      </tp>
      <tp t="s">
        <v>120 M</v>
        <stp/>
        <stp>MARKET_CAP</stp>
        <stp>ANNA</stp>
        <tr r="I85" s="1"/>
      </tp>
      <tp t="s">
        <v>89 M</v>
        <stp/>
        <stp>MARKET_CAP</stp>
        <stp>NNOX</stp>
        <tr r="I212" s="1"/>
      </tp>
      <tp>
        <v>0.02</v>
        <stp/>
        <stp>MARK_CHANGE</stp>
        <stp>ENVB</stp>
        <tr r="D177" s="1"/>
      </tp>
      <tp>
        <v>5.0000000000000001E-3</v>
        <stp/>
        <stp>MARK_CHANGE</stp>
        <stp>ENVX</stp>
        <tr r="D110" s="1"/>
      </tp>
      <tp>
        <v>5.82</v>
        <stp/>
        <stp>BID</stp>
        <stp>JBLU</stp>
        <tr r="G151" s="1"/>
      </tp>
      <tp>
        <v>7.96</v>
        <stp/>
        <stp>BID</stp>
        <stp>MBLY</stp>
        <tr r="G171" s="1"/>
      </tp>
      <tp>
        <v>0.35</v>
        <stp/>
        <stp>MARK_CHANGE</stp>
        <stp>ZNTL</stp>
        <tr r="D166" s="1"/>
      </tp>
      <tp>
        <v>0.44</v>
        <stp/>
        <stp>MARK_CHANGE</stp>
        <stp>MNTS</stp>
        <tr r="D145" s="1"/>
      </tp>
      <tp>
        <v>1.49E-2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3.54</v>
        <stp/>
        <stp>BID</stp>
        <stp>BBAI</stp>
        <tr r="G84" s="1"/>
      </tp>
      <tp>
        <v>-0.1</v>
        <stp/>
        <stp>MARK_CHANGE</stp>
        <stp>INDI</stp>
        <tr r="D161" s="1"/>
      </tp>
      <tp>
        <v>2.47E-2</v>
        <stp/>
        <stp>MARK_CHANGE</stp>
        <stp>QNCX</stp>
        <tr r="D154" s="1"/>
      </tp>
      <tp>
        <v>0.09</v>
        <stp/>
        <stp>MARK_CHANGE</stp>
        <stp>ANNA</stp>
        <tr r="D85" s="1"/>
      </tp>
      <tp>
        <v>0.81</v>
        <stp/>
        <stp>BID</stp>
        <stp>WBUY</stp>
        <tr r="G204" s="1"/>
      </tp>
      <tp>
        <v>0.71060000000000001</v>
        <stp/>
        <stp>BID</stp>
        <stp>ABTC</stp>
        <tr r="G106" s="1"/>
      </tp>
      <tp>
        <v>1.1599999999999999</v>
        <stp/>
        <stp>BID</stp>
        <stp>ABTS</stp>
        <tr r="G194" s="1"/>
      </tp>
      <tp>
        <v>0.1895</v>
        <stp/>
        <stp>MARK_CHANGE</stp>
        <stp>NNOX</stp>
        <tr r="D212" s="1"/>
      </tp>
      <tp>
        <v>2.52</v>
        <stp/>
        <stp>MARK</stp>
        <stp>JEM</stp>
        <tr r="C199" s="1"/>
      </tp>
      <tp>
        <v>11.4</v>
        <stp/>
        <stp>BID</stp>
        <stp>ABSI</stp>
        <tr r="G138" s="1"/>
      </tp>
      <tp>
        <v>8.61</v>
        <stp/>
        <stp>BID</stp>
        <stp>IBRX</stp>
        <tr r="G87" s="1"/>
      </tp>
      <tp>
        <v>60581</v>
        <stp/>
        <stp>VOLUME</stp>
        <stp>IKT</stp>
        <tr r="F144" s="1"/>
      </tp>
      <tp>
        <v>253452</v>
        <stp/>
        <stp>VOLUME</stp>
        <stp>INV</stp>
        <tr r="F163" s="1"/>
      </tp>
      <tp>
        <v>91796</v>
        <stp/>
        <stp>VOLUME</stp>
        <stp>IPW</stp>
        <tr r="F198" s="1"/>
      </tp>
      <tp t="s">
        <v>2,040 M</v>
        <stp/>
        <stp>MARKET_CAP</stp>
        <stp>EOSE</stp>
        <tr r="I102" s="1"/>
      </tp>
      <tp t="s">
        <v>750 M</v>
        <stp/>
        <stp>MARKET_CAP</stp>
        <stp>KOPN</stp>
        <tr r="I169" s="1"/>
      </tp>
      <tp t="s">
        <v>2,761 M</v>
        <stp/>
        <stp>MARKET_CAP</stp>
        <stp>SOUN</stp>
        <tr r="I99" s="1"/>
      </tp>
      <tp>
        <v>2.91</v>
        <stp/>
        <stp>ASK</stp>
        <stp>GTM</stp>
        <tr r="H209" s="1"/>
      </tp>
      <tp t="s">
        <v>9.2 M</v>
        <stp/>
        <stp>MARKET_CAP</stp>
        <stp>LOBO</stp>
        <tr r="I75" s="1"/>
      </tp>
      <tp t="s">
        <v>8,631 M</v>
        <stp/>
        <stp>MARKET_CAP</stp>
        <stp>JOBY</stp>
        <tr r="I105" s="1"/>
      </tp>
      <tp>
        <v>10.63</v>
        <stp/>
        <stp>ASK</stp>
        <stp>GPK</stp>
        <tr r="H140" s="1"/>
      </tp>
      <tp t="s">
        <v>24 M</v>
        <stp/>
        <stp>MARKET_CAP</stp>
        <stp>EONR</stp>
        <tr r="I111" s="1"/>
      </tp>
      <tp t="s">
        <v>63 M</v>
        <stp/>
        <stp>MARKET_CAP</stp>
        <stp>ROLR</stp>
        <tr r="I114" s="1"/>
      </tp>
      <tp t="s">
        <v>135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7.85</v>
        <stp/>
        <stp>ASK</stp>
        <stp>RYAM</stp>
        <tr r="H134" s="1"/>
      </tp>
      <tp>
        <v>-3.1E-2</v>
        <stp/>
        <stp>MARK_CHANGE</stp>
        <stp>SOUN</stp>
        <tr r="D99" s="1"/>
      </tp>
      <tp>
        <v>0.08</v>
        <stp/>
        <stp>MARK_CHANGE</stp>
        <stp>EOSE</stp>
        <tr r="D102" s="1"/>
      </tp>
      <tp t="s">
        <v>-1.74%</v>
        <stp/>
        <stp>MARK_PERCENT_CHANGE</stp>
        <stp>JZXN</stp>
        <tr r="E91" s="1"/>
      </tp>
      <tp>
        <v>4.84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0.22500000000000001</v>
        <stp/>
        <stp>MARK_CHANGE</stp>
        <stp>KOPN</stp>
        <tr r="D169" s="1"/>
      </tp>
      <tp>
        <v>5.84</v>
        <stp/>
        <stp>BID</stp>
        <stp>ACDC</stp>
        <tr r="G142" s="1"/>
      </tp>
      <tp>
        <v>1.56</v>
        <stp/>
        <stp>BID</stp>
        <stp>OCGN</stp>
        <tr r="G147" s="1"/>
      </tp>
      <tp>
        <v>0.68169999999999997</v>
        <stp/>
        <stp>ASK</stp>
        <stp>BYND</stp>
        <tr r="H214" s="1"/>
      </tp>
      <tp>
        <v>1.1499999999999999</v>
        <stp/>
        <stp>BID</stp>
        <stp>UCAR</stp>
        <tr r="G172" s="1"/>
      </tp>
      <tp>
        <v>0.68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-2.3E-2</v>
        <stp/>
        <stp>MARK_CHANGE</stp>
        <stp>LOBO</stp>
        <tr r="D75" s="1"/>
      </tp>
      <tp>
        <v>-5.5E-2</v>
        <stp/>
        <stp>MARK_CHANGE</stp>
        <stp>JOBY</stp>
        <tr r="D105" s="1"/>
      </tp>
      <tp>
        <v>1.65</v>
        <stp/>
        <stp>BID</stp>
        <stp>ACXP</stp>
        <tr r="G228" s="1"/>
      </tp>
      <tp>
        <v>8.44</v>
        <stp/>
        <stp>ASK</stp>
        <stp>KYTX</stp>
        <tr r="H207" s="1"/>
      </tp>
      <tp>
        <v>2.5999999999999999E-3</v>
        <stp/>
        <stp>MARK_CHANGE</stp>
        <stp>EONR</stp>
        <tr r="D111" s="1"/>
      </tp>
      <tp>
        <v>2.39</v>
        <stp/>
        <stp>BID</stp>
        <stp>GCTS</stp>
        <tr r="G149" s="1"/>
      </tp>
      <tp>
        <v>-0.245</v>
        <stp/>
        <stp>MARK_CHANGE</stp>
        <stp>ROLR</stp>
        <tr r="D114" s="1"/>
      </tp>
      <tp>
        <v>5.2299999999999999E-2</v>
        <stp/>
        <stp>MARK_CHANGE</stp>
        <stp>DOMO</stp>
        <tr r="D227" s="1"/>
      </tp>
      <tp t="s">
        <v>-1.02%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4.95</v>
        <stp/>
        <stp>BID</stp>
        <stp>ACRS</stp>
        <tr r="G135" s="1"/>
      </tp>
      <tp>
        <v>91955</v>
        <stp/>
        <stp>VOLUME</stp>
        <stp>HLX</stp>
        <tr r="F150" s="1"/>
      </tp>
      <tp>
        <v>7722885</v>
        <stp/>
        <stp>VOLUME</stp>
        <stp>HTZ</stp>
        <tr r="F230" s="1"/>
      </tp>
      <tp t="s">
        <v>2.9 M</v>
        <stp/>
        <stp>MARKET_CAP</stp>
        <stp>ELPW</stp>
        <tr r="I73" s="1"/>
        <tr r="I201" s="1"/>
      </tp>
      <tp t="s">
        <v>3,585 M</v>
        <stp/>
        <stp>MARKET_CAP</stp>
        <stp>PLUG</stp>
        <tr r="I104" s="1"/>
      </tp>
      <tp>
        <v>2.9</v>
        <stp/>
        <stp>BID</stp>
        <stp>GTM</stp>
        <tr r="G209" s="1"/>
      </tp>
      <tp>
        <v>10.62</v>
        <stp/>
        <stp>BID</stp>
        <stp>GPK</stp>
        <tr r="G140" s="1"/>
      </tp>
      <tp t="s">
        <v>1,772 M</v>
        <stp/>
        <stp>MARKET_CAP</stp>
        <stp>ULCC</stp>
        <tr r="I153" s="1"/>
      </tp>
      <tp t="s">
        <v>5.5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298 M</v>
        <stp/>
        <stp>MARKET_CAP</stp>
        <stp>ELDN</stp>
        <tr r="I225" s="1"/>
      </tp>
      <tp t="s">
        <v>585 M</v>
        <stp/>
        <stp>MARKET_CAP</stp>
        <stp>SLDP</stp>
        <tr r="I125" s="1"/>
      </tp>
      <tp t="s">
        <v>3.8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5.8 M</v>
        <stp/>
        <stp>MARKET_CAP</stp>
        <stp>MLEC</stp>
        <tr r="I143" s="1"/>
      </tp>
      <tp t="s">
        <v>5.1 M</v>
        <stp/>
        <stp>MARKET_CAP</stp>
        <stp>CLIK</stp>
        <tr r="I193" s="1"/>
      </tp>
      <tp t="s">
        <v>105 M</v>
        <stp/>
        <stp>MARKET_CAP</stp>
        <stp>GLND</stp>
        <tr r="I156" s="1"/>
      </tp>
      <tp t="s">
        <v>222 M</v>
        <stp/>
        <stp>MARKET_CAP</stp>
        <stp>SLNH</stp>
        <tr r="I88" s="1"/>
        <tr r="I148" s="1"/>
      </tp>
      <tp t="s">
        <v>STARFIGHTERS SPACE I</v>
        <stp/>
        <stp>DESCRIPTION</stp>
        <stp>FJET</stp>
        <tr r="B195" s="1"/>
      </tp>
      <tp>
        <v>3.0099999999999998E-2</v>
        <stp/>
        <stp>MARK_CHANGE</stp>
        <stp>PLUG</stp>
        <tr r="D104" s="1"/>
      </tp>
      <tp>
        <v>1.46</v>
        <stp/>
        <stp>ASK</stp>
        <stp>BZAI</stp>
        <tr r="H218" s="1"/>
      </tp>
      <tp>
        <v>0.03</v>
        <stp/>
        <stp>MARK_CHANGE</stp>
        <stp>ELPW</stp>
        <tr r="D201" s="1"/>
        <tr r="D73" s="1"/>
      </tp>
      <tp t="s">
        <v>-0.24%</v>
        <stp/>
        <stp>MARK_PERCENT_CHANGE</stp>
        <stp>KYTX</stp>
        <tr r="E207" s="1"/>
      </tp>
      <tp>
        <v>2.415</v>
        <stp/>
        <stp>MARK</stp>
        <stp>HTZ</stp>
        <tr r="C230" s="1"/>
      </tp>
      <tp>
        <v>8.5000000000000006E-2</v>
        <stp/>
        <stp>MARK_CHANGE</stp>
        <stp>ELDN</stp>
        <tr r="D225" s="1"/>
      </tp>
      <tp>
        <v>5.0000000000000001E-3</v>
        <stp/>
        <stp>MARK_CHANGE</stp>
        <stp>WLDS</stp>
        <tr r="D215" s="1"/>
      </tp>
      <tp>
        <v>0.01</v>
        <stp/>
        <stp>MARK_CHANGE</stp>
        <stp>SLDP</stp>
        <tr r="D125" s="1"/>
      </tp>
      <tp>
        <v>0.4118</v>
        <stp/>
        <stp>MARK_CHANGE</stp>
        <stp>MLEC</stp>
        <tr r="D143" s="1"/>
      </tp>
      <tp t="s">
        <v>+3.37%</v>
        <stp/>
        <stp>MARK_PERCENT_CHANGE</stp>
        <stp>BYND</stp>
        <tr r="E214" s="1"/>
      </tp>
      <tp>
        <v>-0.14000000000000001</v>
        <stp/>
        <stp>MARK_CHANGE</stp>
        <stp>ULCC</stp>
        <tr r="D153" s="1"/>
      </tp>
      <tp>
        <v>8.8000000000000007</v>
        <stp/>
        <stp>MARK</stp>
        <stp>HLX</stp>
        <tr r="C150" s="1"/>
      </tp>
      <tp>
        <v>0.06</v>
        <stp/>
        <stp>MARK_CHANGE</stp>
        <stp>ELAB</stp>
        <tr r="D119" s="1"/>
      </tp>
      <tp>
        <v>7.3000000000000001E-3</v>
        <stp/>
        <stp>MARK_CHANGE</stp>
        <stp>SLAI</stp>
        <tr r="D81" s="1"/>
      </tp>
      <tp>
        <v>-9.9000000000000005E-2</v>
        <stp/>
        <stp>MARK_CHANGE</stp>
        <stp>GLND</stp>
        <tr r="D156" s="1"/>
      </tp>
      <tp>
        <v>-2.3699999999999999E-2</v>
        <stp/>
        <stp>MARK_CHANGE</stp>
        <stp>SLNH</stp>
        <tr r="D148" s="1"/>
        <tr r="D88" s="1"/>
      </tp>
      <tp>
        <v>1.18</v>
        <stp/>
        <stp>ASK</stp>
        <stp>JZXN</stp>
        <tr r="H91" s="1"/>
      </tp>
      <tp t="s">
        <v>-2.13%</v>
        <stp/>
        <stp>MARK_PERCENT_CHANGE</stp>
        <stp>RYAM</stp>
        <tr r="E134" s="1"/>
      </tp>
      <tp>
        <v>-0.02</v>
        <stp/>
        <stp>MARK_CHANGE</stp>
        <stp>CLIK</stp>
        <tr r="D193" s="1"/>
      </tp>
      <tp t="s">
        <v>6.7 M</v>
        <stp/>
        <stp>MARKET_CAP</stp>
        <stp>RMSG</stp>
        <tr r="I202" s="1"/>
      </tp>
      <tp t="s">
        <v>739 M</v>
        <stp/>
        <stp>MARKET_CAP</stp>
        <stp>IMSR</stp>
        <tr r="I127" s="1"/>
      </tp>
      <tp t="s">
        <v>1,947 M</v>
        <stp/>
        <stp>MARKET_CAP</stp>
        <stp>CMPS</stp>
        <tr r="I137" s="1"/>
      </tp>
      <tp t="s">
        <v>2,711 M</v>
        <stp/>
        <stp>MARKET_CAP</stp>
        <stp>AMBP</stp>
        <tr r="I159" s="1"/>
      </tp>
      <tp t="s">
        <v>1,009 M</v>
        <stp/>
        <stp>MARKET_CAP</stp>
        <stp>NMAX</stp>
        <tr r="I185" s="1"/>
        <tr r="I78" s="1"/>
      </tp>
      <tp>
        <v>2.8420000000000001</v>
        <stp/>
        <stp>MARK</stp>
        <stp>LNVGF</stp>
        <tr r="C112" s="1"/>
      </tp>
      <tp t="s">
        <v>17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25 M</v>
        <stp/>
        <stp>MARKET_CAP</stp>
        <stp>PMEC</stp>
        <tr r="I129" s="1"/>
      </tp>
      <tp t="s">
        <v>3.1 M</v>
        <stp/>
        <stp>MARKET_CAP</stp>
        <stp>CMND</stp>
        <tr r="I77" s="1"/>
      </tp>
      <tp>
        <v>0.4002</v>
        <stp/>
        <stp>BID</stp>
        <stp>GAME</stp>
        <tr r="G80" s="1"/>
      </tp>
      <tp>
        <v>5.1999999999999998E-3</v>
        <stp/>
        <stp>MARK_CHANGE</stp>
        <stp>RMSG</stp>
        <tr r="D202" s="1"/>
      </tp>
      <tp>
        <v>0.25</v>
        <stp/>
        <stp>MARK_CHANGE</stp>
        <stp>IMSR</stp>
        <tr r="D127" s="1"/>
      </tp>
      <tp>
        <v>-0.39</v>
        <stp/>
        <stp>MARK_CHANGE</stp>
        <stp>CMPS</stp>
        <tr r="D137" s="1"/>
      </tp>
      <tp>
        <v>3.12</v>
        <stp/>
        <stp>BID</stp>
        <stp>LAES</stp>
        <tr r="G83" s="1"/>
      </tp>
      <tp>
        <v>2.02</v>
        <stp/>
        <stp>MARK</stp>
        <stp>IPW</stp>
        <tr r="C198" s="1"/>
      </tp>
      <tp>
        <v>1.76</v>
        <stp/>
        <stp>BID</stp>
        <stp>PACB</stp>
        <tr r="G226" s="1"/>
      </tp>
      <tp>
        <v>1.865</v>
        <stp/>
        <stp>MARK</stp>
        <stp>IKT</stp>
        <tr r="C144" s="1"/>
      </tp>
      <tp>
        <v>8.9999999999999998E-4</v>
        <stp/>
        <stp>MARK_CHANGE</stp>
        <stp>TMDE</stp>
        <tr r="D116" s="1"/>
      </tp>
      <tp>
        <v>-2.93E-2</v>
        <stp/>
        <stp>MARK_CHANGE</stp>
        <stp>PMEC</stp>
        <tr r="D129" s="1"/>
      </tp>
      <tp>
        <v>-7.4999999999999997E-2</v>
        <stp/>
        <stp>MARK_CHANGE</stp>
        <stp>AMBP</stp>
        <tr r="D159" s="1"/>
      </tp>
      <tp>
        <v>5</v>
        <stp/>
        <stp>MARK</stp>
        <stp>INV</stp>
        <tr r="C163" s="1"/>
      </tp>
      <tp>
        <v>0.32</v>
        <stp/>
        <stp>MARK_CHANGE</stp>
        <stp>NMAX</stp>
        <tr r="D78" s="1"/>
        <tr r="D185" s="1"/>
      </tp>
      <tp>
        <v>-0.28000000000000003</v>
        <stp/>
        <stp>MARK_CHANGE</stp>
        <stp>CMND</stp>
        <tr r="D77" s="1"/>
      </tp>
      <tp>
        <v>10.89</v>
        <stp/>
        <stp>BID</stp>
        <stp>PATH</stp>
        <tr r="G210" s="1"/>
      </tp>
      <tp>
        <v>5.09</v>
        <stp/>
        <stp>BID</stp>
        <stp>SATL</stp>
        <tr r="G86" s="1"/>
      </tp>
      <tp>
        <v>1.3</v>
        <stp/>
        <stp>BID</stp>
        <stp>BATL</stp>
        <tr r="G121" s="1"/>
      </tp>
      <tp>
        <v>6.28</v>
        <stp/>
        <stp>BID</stp>
        <stp>PAVS</stp>
        <tr r="G216" s="1"/>
      </tp>
      <tp>
        <v>0.85009999999999997</v>
        <stp/>
        <stp>BID</stp>
        <stp>UAVS</stp>
        <tr r="G96" s="1"/>
      </tp>
      <tp>
        <v>229029</v>
        <stp/>
        <stp>VOLUME</stp>
        <stp>JEM</stp>
        <tr r="F199" s="1"/>
      </tp>
      <tp>
        <v>-0.158</v>
        <stp/>
        <stp>MARK_CHANGE</stp>
        <stp>LNVGF</stp>
        <tr r="D112" s="1"/>
      </tp>
      <tp>
        <v>1.4550000000000001</v>
        <stp/>
        <stp>MARK</stp>
        <stp>BZAI</stp>
        <tr r="C218" s="1"/>
      </tp>
      <tp>
        <v>1.1299999999999999</v>
        <stp/>
        <stp>MARK</stp>
        <stp>JZXN</stp>
        <tr r="C91" s="1"/>
      </tp>
      <tp>
        <v>2.39</v>
        <stp/>
        <stp>ASK</stp>
        <stp>QVCGP</stp>
        <tr r="H191" s="1"/>
      </tp>
      <tp>
        <v>0.68159999999999998</v>
        <stp/>
        <stp>MARK</stp>
        <stp>BYND</stp>
        <tr r="C214" s="1"/>
      </tp>
      <tp>
        <v>7.83</v>
        <stp/>
        <stp>MARK</stp>
        <stp>RYAM</stp>
        <tr r="C134" s="1"/>
      </tp>
      <tp>
        <v>8.42</v>
        <stp/>
        <stp>MARK</stp>
        <stp>KYTX</stp>
        <tr r="C207" s="1"/>
      </tp>
      <tp>
        <v>1.4E-2</v>
        <stp/>
        <stp>MARK_CHANGE</stp>
        <stp>PSRHF</stp>
        <tr r="D197" s="1"/>
      </tp>
      <tp>
        <v>0</v>
        <stp/>
        <stp>MARK_CHANGE</stp>
        <stp>CURLF</stp>
        <tr r="D192" s="1"/>
      </tp>
      <tp>
        <v>0.13</v>
        <stp/>
        <stp>MARK_CHANGE</stp>
        <stp>ADSLF</stp>
        <tr r="D108" s="1"/>
      </tp>
      <tp t="s">
        <v>257 M</v>
        <stp/>
        <stp>MARKET_CAP</stp>
        <stp>EU</stp>
        <tr r="I120" s="1"/>
      </tp>
      <tp t="s">
        <v>165 M</v>
        <stp/>
        <stp>MARKET_CAP</stp>
        <stp>MX</stp>
        <tr r="I113" s="1"/>
      </tp>
      <tp t="s">
        <v>2,391 M</v>
        <stp/>
        <stp>MARKET_CAP</stp>
        <stp>TE</stp>
        <tr r="I94" s="1"/>
      </tp>
      <tp t="s">
        <v>726 M</v>
        <stp/>
        <stp>MARKET_CAP</stp>
        <stp>PD</stp>
        <tr r="I231" s="1"/>
      </tp>
      <tp t="s">
        <v>4,466 M</v>
        <stp/>
        <stp>MARKET_CAP</stp>
        <stp>QS</stp>
        <tr r="I132" s="1"/>
        <tr r="I170" s="1"/>
      </tp>
      <tp t="s">
        <v>452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6.55</v>
        <stp/>
        <stp>MARK</stp>
        <stp>GSIT</stp>
        <tr r="C217" s="1"/>
      </tp>
      <tp>
        <v>7.29</v>
        <stp/>
        <stp>MARK</stp>
        <stp>ASAN</stp>
        <tr r="C196" s="1"/>
      </tp>
      <tp>
        <v>0.18010000000000001</v>
        <stp/>
        <stp>MARK</stp>
        <stp>ZSPC</stp>
        <tr r="C69" s="1"/>
      </tp>
      <tp>
        <v>0.41</v>
        <stp/>
        <stp>MARK</stp>
        <stp>GSUN</stp>
        <tr r="C82" s="1"/>
      </tp>
      <tp>
        <v>5.1680000000000001</v>
        <stp/>
        <stp>MARK</stp>
        <stp>ASTI</stp>
        <tr r="C131" s="1"/>
        <tr r="C174" s="1"/>
      </tp>
      <tp>
        <v>1.0319</v>
        <stp/>
        <stp>MARK</stp>
        <stp>LRHC</stp>
        <tr r="C187" s="1"/>
      </tp>
      <tp>
        <v>9.7149999999999999</v>
        <stp/>
        <stp>MARK</stp>
        <stp>FRMI</stp>
        <tr r="C158" s="1"/>
      </tp>
      <tp>
        <v>1.5149999999999999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0.71609999999999996</v>
        <stp/>
        <stp>MARK</stp>
        <stp>ORBS</stp>
        <tr r="C92" s="1"/>
      </tp>
      <tp>
        <v>7.1</v>
        <stp/>
        <stp>MARK</stp>
        <stp>KREF</stp>
        <tr r="C188" s="1"/>
      </tp>
      <tp>
        <v>0.97829999999999995</v>
        <stp/>
        <stp>MARK</stp>
        <stp>SRFM</stp>
        <tr r="C232" s="1"/>
        <tr r="C95" s="1"/>
      </tp>
      <tp>
        <v>0.46105000000000002</v>
        <stp/>
        <stp>MARK</stp>
        <stp>PRZO</stp>
        <tr r="C124" s="1"/>
      </tp>
      <tp>
        <v>10.08</v>
        <stp/>
        <stp>MARK</stp>
        <stp>FRSH</stp>
        <tr r="C203" s="1"/>
      </tp>
      <tp>
        <v>6.8</v>
        <stp/>
        <stp>MARK</stp>
        <stp>CPIX</stp>
        <tr r="C180" s="1"/>
      </tp>
      <tp>
        <v>4.3600000000000003</v>
        <stp/>
        <stp>MARK</stp>
        <stp>OPEN</stp>
        <tr r="C101" s="1"/>
      </tp>
      <tp>
        <v>2</v>
        <stp/>
        <stp>MARK</stp>
        <stp>RPGL</stp>
        <tr r="C76" s="1"/>
      </tp>
      <tp>
        <v>2.41</v>
        <stp/>
        <stp>MARK</stp>
        <stp>IPST</stp>
        <tr r="C182" s="1"/>
      </tp>
      <tp t="s">
        <v>-5.27%</v>
        <stp/>
        <stp>MARK_PERCENT_CHANGE</stp>
        <stp>LNVGF</stp>
        <tr r="E112" s="1"/>
      </tp>
      <tp>
        <v>10.02</v>
        <stp/>
        <stp>MARK</stp>
        <stp>AVTR</stp>
        <tr r="C211" s="1"/>
      </tp>
      <tp>
        <v>3.7</v>
        <stp/>
        <stp>MARK</stp>
        <stp>FULC</stp>
        <tr r="C164" s="1"/>
      </tp>
      <tp>
        <v>6.73</v>
        <stp/>
        <stp>MARK</stp>
        <stp>BULL</stp>
        <tr r="C89" s="1"/>
      </tp>
      <tp>
        <v>5.63</v>
        <stp/>
        <stp>MARK</stp>
        <stp>NUAI</stp>
        <tr r="C93" s="1"/>
      </tp>
      <tp>
        <v>1.4</v>
        <stp/>
        <stp>MARK</stp>
        <stp>HUBC</stp>
        <tr r="C190" s="1"/>
      </tp>
      <tp>
        <v>1.2499</v>
        <stp/>
        <stp>MARK</stp>
        <stp>AUUD</stp>
        <tr r="C181" s="1"/>
      </tp>
      <tp>
        <v>2.27</v>
        <stp/>
        <stp>BID</stp>
        <stp>QVCGP</stp>
        <tr r="G191" s="1"/>
      </tp>
      <tp t="s">
        <v>+9.63%</v>
        <stp/>
        <stp>MARK_PERCENT_CHANGE</stp>
        <stp>ADSLF</stp>
        <tr r="E108" s="1"/>
      </tp>
      <tp>
        <v>11.72</v>
        <stp/>
        <stp>MARK</stp>
        <stp>CTOS</stp>
        <tr r="C157" s="1"/>
      </tp>
      <tp>
        <v>1.8601000000000001</v>
        <stp/>
        <stp>MARK</stp>
        <stp>BTBT</stp>
        <tr r="C100" s="1"/>
      </tp>
      <tp>
        <v>10.7</v>
        <stp/>
        <stp>MARK</stp>
        <stp>NTSK</stp>
        <tr r="C224" s="1"/>
      </tp>
      <tp>
        <v>17.39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+1.32%</v>
        <stp/>
        <stp>MARK_PERCENT_CHANGE</stp>
        <stp>PSRHF</stp>
        <tr r="E197" s="1"/>
      </tp>
      <tp>
        <v>1.0900000000000001</v>
        <stp/>
        <stp>ASK</stp>
        <stp>PSRHF</stp>
        <tr r="H197" s="1"/>
      </tp>
      <tp>
        <v>3.7</v>
        <stp/>
        <stp>ASK</stp>
        <stp>CURLF</stp>
        <tr r="H192" s="1"/>
      </tp>
      <tp>
        <v>5.4050000000000002</v>
        <stp/>
        <stp>MARK</stp>
        <stp>FJET</stp>
        <tr r="C195" s="1"/>
      </tp>
      <tp>
        <v>1.55</v>
        <stp/>
        <stp>ASK</stp>
        <stp>ADSLF</stp>
        <tr r="H108" s="1"/>
      </tp>
      <tp>
        <v>0.82650000000000001</v>
        <stp/>
        <stp>MARK</stp>
        <stp>BIAF</stp>
        <tr r="C229" s="1"/>
      </tp>
      <tp>
        <v>2.75</v>
        <stp/>
        <stp>MARK</stp>
        <stp>SIDU</stp>
        <tr r="C115" s="1"/>
        <tr r="C223" s="1"/>
      </tp>
      <tp>
        <v>0.745</v>
        <stp/>
        <stp>MARK</stp>
        <stp>KIDZ</stp>
        <tr r="C74" s="1"/>
      </tp>
      <tp>
        <v>0.34920000000000001</v>
        <stp/>
        <stp>MARK</stp>
        <stp>BIYA</stp>
        <tr r="C71" s="1"/>
      </tp>
      <tp>
        <v>1.9500999999999999</v>
        <stp/>
        <stp>MARK</stp>
        <stp>AIXI</stp>
        <tr r="C179" s="1"/>
        <tr r="C130" s="1"/>
      </tp>
      <tp>
        <v>3.81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8.9700000000000006</v>
        <stp/>
        <stp>MARK</stp>
        <stp>SHLS</stp>
        <tr r="C155" s="1"/>
      </tp>
      <tp>
        <v>2.9923000000000002</v>
        <stp/>
        <stp>MARK</stp>
        <stp>DOMO</stp>
        <tr r="C227" s="1"/>
      </tp>
      <tp>
        <v>5.7050000000000001</v>
        <stp/>
        <stp>MARK</stp>
        <stp>ROLR</stp>
        <tr r="C114" s="1"/>
      </tp>
      <tp>
        <v>0.47760000000000002</v>
        <stp/>
        <stp>MARK</stp>
        <stp>EONR</stp>
        <tr r="C111" s="1"/>
      </tp>
      <tp>
        <v>8.7750000000000004</v>
        <stp/>
        <stp>MARK</stp>
        <stp>JOBY</stp>
        <tr r="C105" s="1"/>
      </tp>
      <tp>
        <v>0.66649999999999998</v>
        <stp/>
        <stp>MARK</stp>
        <stp>LOBO</stp>
        <tr r="C75" s="1"/>
      </tp>
      <tp>
        <v>4.0449999999999999</v>
        <stp/>
        <stp>MARK</stp>
        <stp>KOPN</stp>
        <tr r="C169" s="1"/>
      </tp>
      <tp>
        <v>6.01</v>
        <stp/>
        <stp>MARK</stp>
        <stp>EOSE</stp>
        <tr r="C102" s="1"/>
      </tp>
      <tp>
        <v>6.3789999999999996</v>
        <stp/>
        <stp>MARK</stp>
        <stp>SOUN</stp>
        <tr r="C99" s="1"/>
      </tp>
      <tp>
        <v>2.95</v>
        <stp/>
        <stp>ASK</stp>
        <stp>LNVGF</stp>
        <tr r="H112" s="1"/>
      </tp>
      <tp>
        <v>1.2795000000000001</v>
        <stp/>
        <stp>MARK</stp>
        <stp>NNOX</stp>
        <tr r="C212" s="1"/>
      </tp>
      <tp>
        <v>2.93</v>
        <stp/>
        <stp>MARK</stp>
        <stp>ANNA</stp>
        <tr r="C85" s="1"/>
      </tp>
      <tp>
        <v>0.96819999999999995</v>
        <stp/>
        <stp>MARK</stp>
        <stp>QNCX</stp>
        <tr r="C154" s="1"/>
      </tp>
      <tp>
        <v>3.45</v>
        <stp/>
        <stp>MARK</stp>
        <stp>INDI</stp>
        <tr r="C161" s="1"/>
      </tp>
      <tp>
        <v>0.50970000000000004</v>
        <stp/>
        <stp>MARK</stp>
        <stp>GNPX</stp>
        <tr r="C160" s="1"/>
      </tp>
      <tp>
        <v>7.49</v>
        <stp/>
        <stp>MARK</stp>
        <stp>MNTS</stp>
        <tr r="C145" s="1"/>
      </tp>
      <tp>
        <v>4.3899999999999997</v>
        <stp/>
        <stp>MARK</stp>
        <stp>ZNTL</stp>
        <tr r="C166" s="1"/>
      </tp>
      <tp>
        <v>5.9550000000000001</v>
        <stp/>
        <stp>MARK</stp>
        <stp>ENVX</stp>
        <tr r="C110" s="1"/>
      </tp>
      <tp>
        <v>1.4350000000000001</v>
        <stp/>
        <stp>MARK</stp>
        <stp>ENVB</stp>
        <tr r="C177" s="1"/>
      </tp>
      <tp>
        <v>-0.18</v>
        <stp/>
        <stp>MARK_CHANGE</stp>
        <stp>QVCGP</stp>
        <tr r="D191" s="1"/>
      </tp>
      <tp>
        <v>2.1</v>
        <stp/>
        <stp>MARK</stp>
        <stp>CMND</stp>
        <tr r="C77" s="1"/>
      </tp>
      <tp>
        <v>7.81</v>
        <stp/>
        <stp>MARK</stp>
        <stp>NMAX</stp>
        <tr r="C78" s="1"/>
        <tr r="C185" s="1"/>
      </tp>
      <tp>
        <v>4.5350000000000001</v>
        <stp/>
        <stp>MARK</stp>
        <stp>AMBP</stp>
        <tr r="C159" s="1"/>
      </tp>
      <tp>
        <v>0.64019999999999999</v>
        <stp/>
        <stp>MARK</stp>
        <stp>PMEC</stp>
        <tr r="C129" s="1"/>
      </tp>
      <tp>
        <v>0.72089999999999999</v>
        <stp/>
        <stp>MARK</stp>
        <stp>TMDE</stp>
        <tr r="C116" s="1"/>
      </tp>
      <tp>
        <v>14.43</v>
        <stp/>
        <stp>MARK</stp>
        <stp>CMPS</stp>
        <tr r="C137" s="1"/>
      </tp>
      <tp>
        <v>6.98</v>
        <stp/>
        <stp>MARK</stp>
        <stp>IMSR</stp>
        <tr r="C127" s="1"/>
      </tp>
      <tp>
        <v>0.47070000000000001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1.56</v>
        <stp/>
        <stp>MARK</stp>
        <stp>CLIK</stp>
        <tr r="C193" s="1"/>
      </tp>
      <tp>
        <v>2.4009999999999998</v>
        <stp/>
        <stp>MARK</stp>
        <stp>GLND</stp>
        <tr r="C156" s="1"/>
      </tp>
      <tp>
        <v>1.4063000000000001</v>
        <stp/>
        <stp>MARK</stp>
        <stp>SLNH</stp>
        <tr r="C148" s="1"/>
        <tr r="C88" s="1"/>
      </tp>
      <tp>
        <v>1.2</v>
        <stp/>
        <stp>MARK</stp>
        <stp>ELAB</stp>
        <tr r="C119" s="1"/>
      </tp>
      <tp>
        <v>0.47310000000000002</v>
        <stp/>
        <stp>MARK</stp>
        <stp>SLAI</stp>
        <tr r="C81" s="1"/>
      </tp>
      <tp>
        <v>7.71</v>
        <stp/>
        <stp>MARK</stp>
        <stp>ULCC</stp>
        <tr r="C153" s="1"/>
      </tp>
      <tp>
        <v>8.0120000000000005</v>
        <stp/>
        <stp>MARK</stp>
        <stp>MLEC</stp>
        <tr r="C143" s="1"/>
      </tp>
      <tp>
        <v>1.7450000000000001</v>
        <stp/>
        <stp>MARK</stp>
        <stp>WLDS</stp>
        <tr r="C215" s="1"/>
      </tp>
      <tp>
        <v>2.6</v>
        <stp/>
        <stp>MARK</stp>
        <stp>SLDP</stp>
        <tr r="C125" s="1"/>
      </tp>
      <tp>
        <v>3.8650000000000002</v>
        <stp/>
        <stp>MARK</stp>
        <stp>ELDN</stp>
        <tr r="C225" s="1"/>
      </tp>
      <tp>
        <v>0.93130000000000002</v>
        <stp/>
        <stp>MARK</stp>
        <stp>ELPW</stp>
        <tr r="C201" s="1"/>
        <tr r="C73" s="1"/>
      </tp>
      <tp>
        <v>2.57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4.8449999999999998</v>
        <stp/>
        <stp>MARK</stp>
        <stp>ACHR</stp>
        <tr r="C107" s="1"/>
      </tp>
      <tp>
        <v>1.17</v>
        <stp/>
        <stp>MARK</stp>
        <stp>UCAR</stp>
        <tr r="C172" s="1"/>
      </tp>
      <tp>
        <v>0.68020000000000003</v>
        <stp/>
        <stp>MARK</stp>
        <stp>YCBD</stp>
        <tr r="C176" s="1"/>
      </tp>
      <tp>
        <v>5.85</v>
        <stp/>
        <stp>MARK</stp>
        <stp>ACDC</stp>
        <tr r="C142" s="1"/>
      </tp>
      <tp>
        <v>1.57</v>
        <stp/>
        <stp>MARK</stp>
        <stp>OCGN</stp>
        <tr r="C147" s="1"/>
      </tp>
      <tp>
        <v>1.66</v>
        <stp/>
        <stp>MARK</stp>
        <stp>ACXP</stp>
        <tr r="C228" s="1"/>
      </tp>
      <tp>
        <v>4.9550000000000001</v>
        <stp/>
        <stp>MARK</stp>
        <stp>ACRS</stp>
        <tr r="C135" s="1"/>
      </tp>
      <tp>
        <v>2.395</v>
        <stp/>
        <stp>MARK</stp>
        <stp>GCTS</stp>
        <tr r="C149" s="1"/>
      </tp>
      <tp>
        <v>5.8250000000000002</v>
        <stp/>
        <stp>MARK</stp>
        <stp>JBLU</stp>
        <tr r="C151" s="1"/>
      </tp>
      <tp>
        <v>7.97</v>
        <stp/>
        <stp>MARK</stp>
        <stp>MBLY</stp>
        <tr r="C171" s="1"/>
      </tp>
      <tp>
        <v>3.54</v>
        <stp/>
        <stp>MARK</stp>
        <stp>BBAI</stp>
        <tr r="C84" s="1"/>
      </tp>
      <tp>
        <v>11.4</v>
        <stp/>
        <stp>MARK</stp>
        <stp>ABSI</stp>
        <tr r="C138" s="1"/>
      </tp>
      <tp>
        <v>8.61</v>
        <stp/>
        <stp>MARK</stp>
        <stp>IBRX</stp>
        <tr r="C87" s="1"/>
      </tp>
      <tp>
        <v>0.81</v>
        <stp/>
        <stp>MARK</stp>
        <stp>WBUY</stp>
        <tr r="C204" s="1"/>
      </tp>
      <tp>
        <v>1.18</v>
        <stp/>
        <stp>MARK</stp>
        <stp>ABTS</stp>
        <tr r="C194" s="1"/>
      </tp>
      <tp>
        <v>0.71109999999999995</v>
        <stp/>
        <stp>MARK</stp>
        <stp>ABTC</stp>
        <tr r="C106" s="1"/>
      </tp>
      <tp>
        <v>0.40110000000000001</v>
        <stp/>
        <stp>MARK</stp>
        <stp>GAME</stp>
        <tr r="C80" s="1"/>
      </tp>
      <tp>
        <v>1.7623</v>
        <stp/>
        <stp>MARK</stp>
        <stp>PACB</stp>
        <tr r="C226" s="1"/>
      </tp>
      <tp>
        <v>3.125</v>
        <stp/>
        <stp>MARK</stp>
        <stp>LAES</stp>
        <tr r="C83" s="1"/>
      </tp>
      <tp>
        <v>10.89</v>
        <stp/>
        <stp>MARK</stp>
        <stp>PATH</stp>
        <tr r="C210" s="1"/>
      </tp>
      <tp>
        <v>5.09</v>
        <stp/>
        <stp>MARK</stp>
        <stp>SATL</stp>
        <tr r="C86" s="1"/>
      </tp>
      <tp>
        <v>1.3001</v>
        <stp/>
        <stp>MARK</stp>
        <stp>BATL</stp>
        <tr r="C121" s="1"/>
      </tp>
      <tp>
        <v>0.85540000000000005</v>
        <stp/>
        <stp>MARK</stp>
        <stp>UAVS</stp>
        <tr r="C96" s="1"/>
      </tp>
      <tp>
        <v>6.29</v>
        <stp/>
        <stp>MARK</stp>
        <stp>PAVS</stp>
        <tr r="C216" s="1"/>
      </tp>
      <tp>
        <v>2.68</v>
        <stp/>
        <stp>BID</stp>
        <stp>LNVGF</stp>
        <tr r="G112" s="1"/>
      </tp>
      <tp>
        <v>7.17</v>
        <stp/>
        <stp>MARK</stp>
        <stp>AGPU</stp>
        <tr r="C184" s="1"/>
        <tr r="C70" s="1"/>
      </tp>
      <tp>
        <v>3.15</v>
        <stp/>
        <stp>MARK</stp>
        <stp>UGRO</stp>
        <tr r="C117" s="1"/>
      </tp>
      <tp>
        <v>3.0830000000000002</v>
        <stp/>
        <stp>MARK</stp>
        <stp>EEIQ</stp>
        <tr r="C221" s="1"/>
      </tp>
      <tp>
        <v>1.82</v>
        <stp/>
        <stp>MARK</stp>
        <stp>RENX</stp>
        <tr r="C162" s="1"/>
      </tp>
      <tp>
        <v>1.63</v>
        <stp/>
        <stp>MARK</stp>
        <stp>ZENA</stp>
        <tr r="C123" s="1"/>
      </tp>
      <tp>
        <v>6.1</v>
        <stp/>
        <stp>MARK</stp>
        <stp>WEAV</stp>
        <tr r="C220" s="1"/>
      </tp>
      <tp>
        <v>1.21</v>
        <stp/>
        <stp>MARK</stp>
        <stp>RECT</stp>
        <tr r="C133" s="1"/>
      </tp>
      <tp>
        <v>5.6950000000000003</v>
        <stp/>
        <stp>MARK</stp>
        <stp>KEEL</stp>
        <tr r="C128" s="1"/>
        <tr r="C173" s="1"/>
      </tp>
      <tp>
        <v>11.53</v>
        <stp/>
        <stp>MARK</stp>
        <stp>REPL</stp>
        <tr r="C175" s="1"/>
        <tr r="C122" s="1"/>
      </tp>
      <tp>
        <v>2.5099999999999998</v>
        <stp/>
        <stp>MARK</stp>
        <stp>RETO</stp>
        <tr r="C72" s="1"/>
      </tp>
      <tp>
        <v>1.32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6.12</v>
        <stp/>
        <stp>MARK</stp>
        <stp>TDIC</stp>
        <tr r="C168" s="1"/>
      </tp>
      <tp>
        <v>1.2</v>
        <stp/>
        <stp>MARK</stp>
        <stp>BDMD</stp>
        <tr r="C141" s="1"/>
      </tp>
      <tp>
        <v>4.88</v>
        <stp/>
        <stp>MARK</stp>
        <stp>CDLX</stp>
        <tr r="C146" s="1"/>
      </tp>
      <tp>
        <v>21.5</v>
        <stp/>
        <stp>MARK</stp>
        <stp>JDZG</stp>
        <tr r="C152" s="1"/>
      </tp>
      <tp>
        <v>1.07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>
        <v>29.87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>
        <v>5.4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>
        <v>71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>
        <v>34.97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3325647</v>
        <stp/>
        <stp>VOLUME</stp>
        <stp>PATH</stp>
        <tr r="F210" s="1"/>
      </tp>
      <tp>
        <v>2264689</v>
        <stp/>
        <stp>VOLUME</stp>
        <stp>SATL</stp>
        <tr r="F86" s="1"/>
      </tp>
      <tp>
        <v>4324598</v>
        <stp/>
        <stp>VOLUME</stp>
        <stp>BATL</stp>
        <tr r="F121" s="1"/>
      </tp>
      <tp>
        <v>106318</v>
        <stp/>
        <stp>VOLUME</stp>
        <stp>UAVS</stp>
        <tr r="F96" s="1"/>
      </tp>
      <tp>
        <v>193193</v>
        <stp/>
        <stp>VOLUME</stp>
        <stp>PAVS</stp>
        <tr r="F216" s="1"/>
      </tp>
      <tp>
        <v>98868</v>
        <stp/>
        <stp>VOLUME</stp>
        <stp>GAME</stp>
        <tr r="F80" s="1"/>
      </tp>
      <tp>
        <v>1603869</v>
        <stp/>
        <stp>VOLUME</stp>
        <stp>LAES</stp>
        <tr r="F83" s="1"/>
      </tp>
      <tp>
        <v>1602475</v>
        <stp/>
        <stp>VOLUME</stp>
        <stp>PACB</stp>
        <tr r="F226" s="1"/>
      </tp>
      <tp>
        <v>35.93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185" s="1"/>
        <tr r="J78" s="1"/>
      </tp>
      <tp t="s">
        <v>loading</v>
        <stp/>
        <stp>CUSTOM2</stp>
        <stp>NMAX</stp>
        <tr r="K185" s="1"/>
        <tr r="K78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3563</v>
        <stp/>
        <stp>VOLUME</stp>
        <stp>WBUY</stp>
        <tr r="F204" s="1"/>
      </tp>
      <tp>
        <v>773076</v>
        <stp/>
        <stp>VOLUME</stp>
        <stp>ABTC</stp>
        <tr r="F106" s="1"/>
      </tp>
      <tp>
        <v>2849</v>
        <stp/>
        <stp>VOLUME</stp>
        <stp>ABTS</stp>
        <tr r="F194" s="1"/>
      </tp>
      <tp>
        <v>1356427</v>
        <stp/>
        <stp>VOLUME</stp>
        <stp>ABSI</stp>
        <tr r="F138" s="1"/>
      </tp>
      <tp>
        <v>4688369</v>
        <stp/>
        <stp>VOLUME</stp>
        <stp>IBRX</stp>
        <tr r="F87" s="1"/>
      </tp>
      <tp>
        <v>1805805</v>
        <stp/>
        <stp>VOLUME</stp>
        <stp>JBLU</stp>
        <tr r="F151" s="1"/>
      </tp>
      <tp>
        <v>454332</v>
        <stp/>
        <stp>VOLUME</stp>
        <stp>MBLY</stp>
        <tr r="F171" s="1"/>
      </tp>
      <tp>
        <v>3907505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3,144 M</v>
        <stp/>
        <stp>MARKET_CAP</stp>
        <stp>GPK</stp>
        <tr r="I140" s="1"/>
      </tp>
      <tp t="s">
        <v>loading</v>
        <stp/>
        <stp>CUSTOM2</stp>
        <stp>GLND</stp>
        <tr r="K156" s="1"/>
      </tp>
      <tp>
        <v>36.46</v>
        <stp/>
        <stp>CUSTOM2</stp>
        <stp>SLNH</stp>
        <tr r="K148" s="1"/>
        <tr r="K88" s="1"/>
      </tp>
      <tp t="s">
        <v>856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148" s="1"/>
        <tr r="J8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 t="s">
        <v>loading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40350</v>
        <stp/>
        <stp>VOLUME</stp>
        <stp>ACXP</stp>
        <tr r="F228" s="1"/>
      </tp>
      <tp>
        <v>491255</v>
        <stp/>
        <stp>VOLUME</stp>
        <stp>GCTS</stp>
        <tr r="F149" s="1"/>
      </tp>
      <tp>
        <v>169226</v>
        <stp/>
        <stp>VOLUME</stp>
        <stp>ACRS</stp>
        <tr r="F135" s="1"/>
      </tp>
      <tp>
        <v>3791746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152854</v>
        <stp/>
        <stp>VOLUME</stp>
        <stp>ACDC</stp>
        <tr r="F142" s="1"/>
      </tp>
      <tp>
        <v>1683698</v>
        <stp/>
        <stp>VOLUME</stp>
        <stp>OCGN</stp>
        <tr r="F147" s="1"/>
      </tp>
      <tp>
        <v>18026</v>
        <stp/>
        <stp>VOLUME</stp>
        <stp>UCAR</stp>
        <tr r="F172" s="1"/>
      </tp>
      <tp t="s">
        <v>loading</v>
        <stp/>
        <stp>CUSTOM2</stp>
        <stp>TRX</stp>
        <tr r="K97" s="1"/>
      </tp>
      <tp t="s">
        <v>loading</v>
        <stp/>
        <stp>CUSTOM3</stp>
        <stp>TRX</stp>
        <tr r="J97" s="1"/>
      </tp>
      <tp>
        <v>66644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>
        <v>75.564400000000006</v>
        <stp/>
        <stp>CUSTOM2</stp>
        <stp>SES</stp>
        <tr r="K126" s="1"/>
      </tp>
      <tp>
        <v>113096</v>
        <stp/>
        <stp>VOLUME</stp>
        <stp>BDMD</stp>
        <tr r="F141" s="1"/>
      </tp>
      <tp>
        <v>8944</v>
        <stp/>
        <stp>VOLUME</stp>
        <stp>CDLX</stp>
        <tr r="F146" s="1"/>
      </tp>
      <tp>
        <v>24928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 t="s">
        <v>loading</v>
        <stp/>
        <stp>CUSTOM2</stp>
        <stp>FJET</stp>
        <tr r="K195" s="1"/>
      </tp>
      <tp t="s">
        <v>177 M</v>
        <stp/>
        <stp>MARKET_CAP</stp>
        <stp>ACB</stp>
        <tr r="I222" s="1"/>
      </tp>
      <tp t="s">
        <v>555 M</v>
        <stp/>
        <stp>MARKET_CAP</stp>
        <stp>ALT</stp>
        <tr r="I189" s="1"/>
      </tp>
      <tp>
        <v>634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427556</v>
        <stp/>
        <stp>VOLUME</stp>
        <stp>REPL</stp>
        <tr r="F175" s="1"/>
        <tr r="F122" s="1"/>
      </tp>
      <tp>
        <v>572981</v>
        <stp/>
        <stp>VOLUME</stp>
        <stp>ZENA</stp>
        <tr r="F123" s="1"/>
      </tp>
      <tp>
        <v>16429</v>
        <stp/>
        <stp>VOLUME</stp>
        <stp>RENX</stp>
        <tr r="F162" s="1"/>
      </tp>
      <tp>
        <v>11126</v>
        <stp/>
        <stp>VOLUME</stp>
        <stp>EEIQ</stp>
        <tr r="F221" s="1"/>
      </tp>
      <tp>
        <v>7999992</v>
        <stp/>
        <stp>VOLUME</stp>
        <stp>KEEL</stp>
        <tr r="F173" s="1"/>
        <tr r="F128" s="1"/>
      </tp>
      <tp>
        <v>183142</v>
        <stp/>
        <stp>VOLUME</stp>
        <stp>WEAV</stp>
        <tr r="F220" s="1"/>
      </tp>
      <tp>
        <v>347</v>
        <stp/>
        <stp>VOLUME</stp>
        <stp>RECT</stp>
        <tr r="F133" s="1"/>
      </tp>
      <tp t="s">
        <v>5,077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>
        <v>28.85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30" s="1"/>
        <tr r="K179" s="1"/>
      </tp>
      <tp t="s">
        <v>loading</v>
        <stp/>
        <stp>CUSTOM2</stp>
        <stp>BIYA</stp>
        <tr r="K71" s="1"/>
      </tp>
      <tp t="s">
        <v>loading</v>
        <stp/>
        <stp>CUSTOM3</stp>
        <stp>AIXI</stp>
        <tr r="J130" s="1"/>
        <tr r="J179" s="1"/>
      </tp>
      <tp>
        <v>3.68</v>
        <stp/>
        <stp>CUSTOM2</stp>
        <stp>HIVE</stp>
        <tr r="K98" s="1"/>
      </tp>
      <tp t="s">
        <v>loading</v>
        <stp/>
        <stp>CUSTOM3</stp>
        <stp>HIVE</stp>
        <tr r="J98" s="1"/>
      </tp>
      <tp>
        <v>20.89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1,241 M</v>
        <stp/>
        <stp>MARKET_CAP</stp>
        <stp>CXM</stp>
        <tr r="I206" s="1"/>
      </tp>
      <tp t="s">
        <v>465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79" s="1"/>
        <tr r="J213" s="1"/>
      </tp>
      <tp t="s">
        <v>loading</v>
        <stp/>
        <stp>CUSTOM2</stp>
        <stp>PBM</stp>
        <tr r="K79" s="1"/>
        <tr r="K213" s="1"/>
      </tp>
      <tp>
        <v>66938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3,935 M</v>
        <stp/>
        <stp>MARKET_CAP</stp>
        <stp>LPL</stp>
        <tr r="I186" s="1"/>
      </tp>
      <tp t="s">
        <v>1,325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711038</v>
        <stp/>
        <stp>VOLUME</stp>
        <stp>SHLS</stp>
        <tr r="F155" s="1"/>
      </tp>
      <tp>
        <v>88660</v>
        <stp/>
        <stp>VOLUME</stp>
        <stp>BIYA</stp>
        <tr r="F71" s="1"/>
      </tp>
      <tp>
        <v>58284</v>
        <stp/>
        <stp>VOLUME</stp>
        <stp>AIXI</stp>
        <tr r="F130" s="1"/>
        <tr r="F179" s="1"/>
      </tp>
      <tp>
        <v>6582311</v>
        <stp/>
        <stp>VOLUME</stp>
        <stp>HIVE</stp>
        <tr r="F98" s="1"/>
      </tp>
      <tp>
        <v>3284224</v>
        <stp/>
        <stp>VOLUME</stp>
        <stp>SIDU</stp>
        <tr r="F223" s="1"/>
        <tr r="F115" s="1"/>
      </tp>
      <tp>
        <v>101453</v>
        <stp/>
        <stp>VOLUME</stp>
        <stp>KIDZ</stp>
        <tr r="F74" s="1"/>
      </tp>
      <tp>
        <v>11179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52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73" s="1"/>
        <tr r="J128" s="1"/>
      </tp>
      <tp t="s">
        <v>loading</v>
        <stp/>
        <stp>CUSTOM2</stp>
        <stp>KEEL</stp>
        <tr r="K128" s="1"/>
        <tr r="K173" s="1"/>
      </tp>
      <tp t="s">
        <v>loading</v>
        <stp/>
        <stp>CUSTOM2</stp>
        <stp>REPL</stp>
        <tr r="K122" s="1"/>
        <tr r="K175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242871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2210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763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1,297 M</v>
        <stp/>
        <stp>MARKET_CAP</stp>
        <stp>HLX</stp>
        <tr r="I150" s="1"/>
      </tp>
      <tp>
        <v>7762027</v>
        <stp/>
        <stp>VOLUME</stp>
        <stp>PLUG</stp>
        <tr r="F104" s="1"/>
      </tp>
      <tp>
        <v>74790</v>
        <stp/>
        <stp>VOLUME</stp>
        <stp>ELPW</stp>
        <tr r="F201" s="1"/>
        <tr r="F73" s="1"/>
      </tp>
      <tp>
        <v>220197</v>
        <stp/>
        <stp>VOLUME</stp>
        <stp>GLND</stp>
        <tr r="F156" s="1"/>
      </tp>
      <tp>
        <v>2103614</v>
        <stp/>
        <stp>VOLUME</stp>
        <stp>SLNH</stp>
        <tr r="F148" s="1"/>
        <tr r="F88" s="1"/>
      </tp>
      <tp>
        <v>5257</v>
        <stp/>
        <stp>VOLUME</stp>
        <stp>CLIK</stp>
        <tr r="F193" s="1"/>
      </tp>
      <tp>
        <v>2581</v>
        <stp/>
        <stp>VOLUME</stp>
        <stp>MLEC</stp>
        <tr r="F143" s="1"/>
      </tp>
      <tp>
        <v>364955</v>
        <stp/>
        <stp>VOLUME</stp>
        <stp>ELDN</stp>
        <tr r="F225" s="1"/>
      </tp>
      <tp>
        <v>773946</v>
        <stp/>
        <stp>VOLUME</stp>
        <stp>SLDP</stp>
        <tr r="F125" s="1"/>
      </tp>
      <tp>
        <v>5630</v>
        <stp/>
        <stp>VOLUME</stp>
        <stp>WLDS</stp>
        <tr r="F215" s="1"/>
      </tp>
      <tp>
        <v>105292</v>
        <stp/>
        <stp>VOLUME</stp>
        <stp>ELAB</stp>
        <tr r="F119" s="1"/>
      </tp>
      <tp>
        <v>12640</v>
        <stp/>
        <stp>VOLUME</stp>
        <stp>SLAI</stp>
        <tr r="F81" s="1"/>
      </tp>
      <tp>
        <v>496133</v>
        <stp/>
        <stp>VOLUME</stp>
        <stp>ULCC</stp>
        <tr r="F153" s="1"/>
      </tp>
      <tp t="s">
        <v>1.3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>
        <v>40.75</v>
        <stp/>
        <stp>CUSTOM2</stp>
        <stp>BBAI</stp>
        <tr r="K84" s="1"/>
      </tp>
      <tp t="s">
        <v>246 M</v>
        <stp/>
        <stp>MARKET_CAP</stp>
        <stp>IKT</stp>
        <tr r="I144" s="1"/>
      </tp>
      <tp>
        <v>34.619999999999997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>
        <v>62.43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420 M</v>
        <stp/>
        <stp>MARKET_CAP</stp>
        <stp>INV</stp>
        <tr r="I163" s="1"/>
      </tp>
      <tp t="s">
        <v>loading</v>
        <stp/>
        <stp>CUSTOM3</stp>
        <stp>WBUY</stp>
        <tr r="J204" s="1"/>
      </tp>
      <tp t="s">
        <v>loading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591582</v>
        <stp/>
        <stp>VOLUME</stp>
        <stp>CMPS</stp>
        <tr r="F137" s="1"/>
      </tp>
      <tp>
        <v>60063</v>
        <stp/>
        <stp>VOLUME</stp>
        <stp>RMSG</stp>
        <tr r="F202" s="1"/>
      </tp>
      <tp>
        <v>268762</v>
        <stp/>
        <stp>VOLUME</stp>
        <stp>IMSR</stp>
        <tr r="F127" s="1"/>
      </tp>
      <tp>
        <v>4509307</v>
        <stp/>
        <stp>VOLUME</stp>
        <stp>CMND</stp>
        <tr r="F77" s="1"/>
      </tp>
      <tp>
        <v>1883</v>
        <stp/>
        <stp>VOLUME</stp>
        <stp>PMEC</stp>
        <tr r="F129" s="1"/>
      </tp>
      <tp>
        <v>439722</v>
        <stp/>
        <stp>VOLUME</stp>
        <stp>TMDE</stp>
        <tr r="F116" s="1"/>
      </tp>
      <tp>
        <v>321857</v>
        <stp/>
        <stp>VOLUME</stp>
        <stp>NMAX</stp>
        <tr r="F78" s="1"/>
        <tr r="F185" s="1"/>
      </tp>
      <tp>
        <v>297172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4.5 M</v>
        <stp/>
        <stp>MARKET_CAP</stp>
        <stp>JEM</stp>
        <tr r="I199" s="1"/>
      </tp>
      <tp>
        <v>66</v>
        <stp/>
        <stp>CUSTOM2</stp>
        <stp>PATH</stp>
        <tr r="K210" s="1"/>
      </tp>
      <tp>
        <v>36.020000000000003</v>
        <stp/>
        <stp>CUSTOM2</stp>
        <stp>SATL</stp>
        <tr r="K86" s="1"/>
      </tp>
      <tp>
        <v>86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10614</v>
        <stp/>
        <stp>VOLUME</stp>
        <stp>ADSLF</stp>
        <tr r="F108" s="1"/>
      </tp>
      <tp>
        <v>621825</v>
        <stp/>
        <stp>VOLUME</stp>
        <stp>ZNTL</stp>
        <tr r="F166" s="1"/>
      </tp>
      <tp>
        <v>1261273</v>
        <stp/>
        <stp>VOLUME</stp>
        <stp>MNTS</stp>
        <tr r="F145" s="1"/>
      </tp>
      <tp>
        <v>44099</v>
        <stp/>
        <stp>VOLUME</stp>
        <stp>ENVB</stp>
        <tr r="F177" s="1"/>
      </tp>
      <tp>
        <v>738597</v>
        <stp/>
        <stp>VOLUME</stp>
        <stp>ENVX</stp>
        <tr r="F110" s="1"/>
      </tp>
      <tp>
        <v>141291</v>
        <stp/>
        <stp>VOLUME</stp>
        <stp>GNPX</stp>
        <tr r="F160" s="1"/>
      </tp>
      <tp>
        <v>1330461</v>
        <stp/>
        <stp>VOLUME</stp>
        <stp>NNOX</stp>
        <tr r="F212" s="1"/>
      </tp>
      <tp>
        <v>30984</v>
        <stp/>
        <stp>VOLUME</stp>
        <stp>ANNA</stp>
        <tr r="F85" s="1"/>
      </tp>
      <tp>
        <v>511771</v>
        <stp/>
        <stp>VOLUME</stp>
        <stp>INDI</stp>
        <tr r="F161" s="1"/>
      </tp>
      <tp>
        <v>69095</v>
        <stp/>
        <stp>VOLUME</stp>
        <stp>QNCX</stp>
        <tr r="F154" s="1"/>
      </tp>
      <tp>
        <v>70854</v>
        <stp/>
        <stp>VOLUME</stp>
        <stp>PSRHF</stp>
        <tr r="F197" s="1"/>
      </tp>
      <tp t="s">
        <v>N/A</v>
        <stp/>
        <stp>VOLUME</stp>
        <stp>CURLF</stp>
        <tr r="F192" s="1"/>
      </tp>
      <tp>
        <v>2887109</v>
        <stp/>
        <stp>VOLUME</stp>
        <stp>SOUN</stp>
        <tr r="F99" s="1"/>
      </tp>
      <tp>
        <v>1223989</v>
        <stp/>
        <stp>VOLUME</stp>
        <stp>KOPN</stp>
        <tr r="F169" s="1"/>
      </tp>
      <tp>
        <v>3416068</v>
        <stp/>
        <stp>VOLUME</stp>
        <stp>EOSE</stp>
        <tr r="F102" s="1"/>
      </tp>
      <tp>
        <v>447994</v>
        <stp/>
        <stp>VOLUME</stp>
        <stp>DOMO</stp>
        <tr r="F227" s="1"/>
      </tp>
      <tp>
        <v>25475</v>
        <stp/>
        <stp>VOLUME</stp>
        <stp>ROLR</stp>
        <tr r="F114" s="1"/>
      </tp>
      <tp>
        <v>323721</v>
        <stp/>
        <stp>VOLUME</stp>
        <stp>EONR</stp>
        <tr r="F111" s="1"/>
      </tp>
      <tp>
        <v>26645</v>
        <stp/>
        <stp>VOLUME</stp>
        <stp>LOBO</stp>
        <tr r="F75" s="1"/>
      </tp>
      <tp>
        <v>2764541</v>
        <stp/>
        <stp>VOLUME</stp>
        <stp>JOBY</stp>
        <tr r="F105" s="1"/>
      </tp>
      <tp t="s">
        <v>276 M</v>
        <stp/>
        <stp>MARKET_CAP</stp>
        <stp>TRX</stp>
        <tr r="I97" s="1"/>
      </tp>
      <tp t="s">
        <v>503 M</v>
        <stp/>
        <stp>MARKET_CAP</stp>
        <stp>TWI</stp>
        <tr r="I136" s="1"/>
      </tp>
      <tp>
        <v>7678</v>
        <stp/>
        <stp>VOLUME</stp>
        <stp>IPST</stp>
        <tr r="F182" s="1"/>
      </tp>
      <tp>
        <v>12029</v>
        <stp/>
        <stp>VOLUME</stp>
        <stp>CPIX</stp>
        <tr r="F180" s="1"/>
      </tp>
      <tp>
        <v>5736203</v>
        <stp/>
        <stp>VOLUME</stp>
        <stp>OPEN</stp>
        <tr r="F101" s="1"/>
      </tp>
      <tp>
        <v>8708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91953</v>
        <stp/>
        <stp>VOLUME</stp>
        <stp>PRZO</stp>
        <tr r="F124" s="1"/>
      </tp>
      <tp>
        <v>1029804</v>
        <stp/>
        <stp>VOLUME</stp>
        <stp>FRSH</stp>
        <tr r="F203" s="1"/>
      </tp>
      <tp>
        <v>4895661</v>
        <stp/>
        <stp>VOLUME</stp>
        <stp>FRMI</stp>
        <tr r="F158" s="1"/>
      </tp>
      <tp>
        <v>158303</v>
        <stp/>
        <stp>VOLUME</stp>
        <stp>TRON</stp>
        <tr r="F208" s="1"/>
      </tp>
      <tp t="s">
        <v>N/A</v>
        <stp/>
        <stp>VOLUME</stp>
        <stp>VRNO</stp>
        <tr r="F205" s="1"/>
      </tp>
      <tp>
        <v>53404</v>
        <stp/>
        <stp>VOLUME</stp>
        <stp>LRHC</stp>
        <tr r="F187" s="1"/>
      </tp>
      <tp>
        <v>84336</v>
        <stp/>
        <stp>VOLUME</stp>
        <stp>KREF</stp>
        <tr r="F188" s="1"/>
      </tp>
      <tp>
        <v>72935373</v>
        <stp/>
        <stp>VOLUME</stp>
        <stp>SRFM</stp>
        <tr r="F95" s="1"/>
        <tr r="F232" s="1"/>
      </tp>
      <tp>
        <v>2149711</v>
        <stp/>
        <stp>VOLUME</stp>
        <stp>ORBS</stp>
        <tr r="F92" s="1"/>
      </tp>
      <tp>
        <v>6738</v>
        <stp/>
        <stp>VOLUME</stp>
        <stp>GSUN</stp>
        <tr r="F82" s="1"/>
      </tp>
      <tp>
        <v>198451</v>
        <stp/>
        <stp>VOLUME</stp>
        <stp>ASTI</stp>
        <tr r="F174" s="1"/>
        <tr r="F131" s="1"/>
      </tp>
      <tp>
        <v>785</v>
        <stp/>
        <stp>VOLUME</stp>
        <stp>ZSPC</stp>
        <tr r="F69" s="1"/>
      </tp>
      <tp>
        <v>148295</v>
        <stp/>
        <stp>VOLUME</stp>
        <stp>GSIT</stp>
        <tr r="F217" s="1"/>
      </tp>
      <tp>
        <v>1329031</v>
        <stp/>
        <stp>VOLUME</stp>
        <stp>ASAN</stp>
        <tr r="F196" s="1"/>
      </tp>
      <tp>
        <v>8.56</v>
        <stp/>
        <stp>MARK</stp>
        <stp>TE</stp>
        <tr r="C94" s="1"/>
      </tp>
      <tp>
        <v>2.02</v>
        <stp/>
        <stp>MARK</stp>
        <stp>RR</stp>
        <tr r="C103" s="1"/>
      </tp>
      <tp>
        <v>9.4149999999999991</v>
        <stp/>
        <stp>MARK</stp>
        <stp>PD</stp>
        <tr r="C231" s="1"/>
      </tp>
      <tp>
        <v>7.26</v>
        <stp/>
        <stp>MARK</stp>
        <stp>QS</stp>
        <tr r="C132" s="1"/>
        <tr r="C170" s="1"/>
      </tp>
      <tp t="s">
        <v>12 M</v>
        <stp/>
        <stp>MARKET_CAP</stp>
        <stp>PBM</stp>
        <tr r="I79" s="1"/>
        <tr r="I213" s="1"/>
      </tp>
      <tp t="s">
        <v>1,521 M</v>
        <stp/>
        <stp>MARKET_CAP</stp>
        <stp>PCT</stp>
        <tr r="I167" s="1"/>
      </tp>
      <tp>
        <v>1.325</v>
        <stp/>
        <stp>MARK</stp>
        <stp>EU</stp>
        <tr r="C120" s="1"/>
      </tp>
      <tp>
        <v>4.5199999999999996</v>
        <stp/>
        <stp>MARK</stp>
        <stp>MX</stp>
        <tr r="C113" s="1"/>
      </tp>
      <tp>
        <v>476387</v>
        <stp/>
        <stp>VOLUME</stp>
        <stp>NTSK</stp>
        <tr r="F224" s="1"/>
      </tp>
      <tp>
        <v>105519</v>
        <stp/>
        <stp>VOLUME</stp>
        <stp>FTRE</stp>
        <tr r="F200" s="1"/>
      </tp>
      <tp>
        <v>46133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2373104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52234</v>
        <stp/>
        <stp>VOLUME</stp>
        <stp>AUUD</stp>
        <tr r="F181" s="1"/>
      </tp>
      <tp>
        <v>120278</v>
        <stp/>
        <stp>VOLUME</stp>
        <stp>FULC</stp>
        <tr r="F164" s="1"/>
      </tp>
      <tp>
        <v>999040</v>
        <stp/>
        <stp>VOLUME</stp>
        <stp>BULL</stp>
        <tr r="F89" s="1"/>
      </tp>
      <tp t="s">
        <v>loading</v>
        <stp/>
        <stp>CUSTOM3</stp>
        <stp>BTG</stp>
        <tr r="J139" s="1"/>
      </tp>
      <tp t="s">
        <v>loading</v>
        <stp/>
        <stp>CUSTOM2</stp>
        <stp>BTG</stp>
        <tr r="K139" s="1"/>
      </tp>
      <tp>
        <v>1760002</v>
        <stp/>
        <stp>VOLUME</stp>
        <stp>NUAI</stp>
        <tr r="F93" s="1"/>
      </tp>
      <tp>
        <v>161263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1,297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709979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21 M</v>
        <stp/>
        <stp>MARKET_CAP</stp>
        <stp>SST</stp>
        <tr r="I178" s="1"/>
      </tp>
      <tp t="s">
        <v>463 M</v>
        <stp/>
        <stp>MARKET_CAP</stp>
        <stp>SPT</stp>
        <tr r="I219" s="1"/>
      </tp>
      <tp t="s">
        <v>348 M</v>
        <stp/>
        <stp>MARKET_CAP</stp>
        <stp>SES</stp>
        <tr r="I126" s="1"/>
      </tp>
      <tp t="s">
        <v>9.4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>
        <v>34.29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70" s="1"/>
        <tr r="K132" s="1"/>
      </tp>
      <tp t="s">
        <v>loading</v>
        <stp/>
        <stp>CUSTOM3</stp>
        <stp>QS</stp>
        <tr r="J170" s="1"/>
        <tr r="J132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 t="s">
        <v>loading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116054</v>
        <stp/>
        <stp>VOLUME</stp>
        <stp>KYTX</stp>
        <tr r="F207" s="1"/>
      </tp>
      <tp>
        <v>3131288</v>
        <stp/>
        <stp>VOLUME</stp>
        <stp>BYND</stp>
        <tr r="F214" s="1"/>
      </tp>
      <tp>
        <v>64974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 t="s">
        <v>loading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112975</v>
        <stp/>
        <stp>VOLUME</stp>
        <stp>JZXN</stp>
        <tr r="F91" s="1"/>
      </tp>
      <tp>
        <v>579023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 t="s">
        <v>loading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31" s="1"/>
        <tr r="J174" s="1"/>
      </tp>
      <tp t="s">
        <v>loading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 t="s">
        <v>loading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>
        <v>4.5125000000000002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 t="s">
        <v>loading</v>
        <stp/>
        <stp>CUSTOM3</stp>
        <stp>JEM</stp>
        <tr r="J199" s="1"/>
      </tp>
      <tp t="s">
        <v>loading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>
        <v>21.52</v>
        <stp/>
        <stp>CUSTOM2</stp>
        <stp>HTZ</stp>
        <tr r="K230" s="1"/>
      </tp>
      <tp t="s">
        <v>loading</v>
        <stp/>
        <stp>CUSTOM3</stp>
        <stp>HTZ</stp>
        <tr r="J230" s="1"/>
      </tp>
      <tp>
        <v>4498894</v>
        <stp/>
        <stp>VOLUME</stp>
        <stp>TE</stp>
        <tr r="F94" s="1"/>
      </tp>
      <tp>
        <v>2590048</v>
        <stp/>
        <stp>VOLUME</stp>
        <stp>QS</stp>
        <tr r="F132" s="1"/>
        <tr r="F170" s="1"/>
      </tp>
      <tp>
        <v>155690</v>
        <stp/>
        <stp>VOLUME</stp>
        <stp>PD</stp>
        <tr r="F231" s="1"/>
      </tp>
      <tp>
        <v>1906156</v>
        <stp/>
        <stp>VOLUME</stp>
        <stp>RR</stp>
        <tr r="F103" s="1"/>
      </tp>
      <tp>
        <v>258557</v>
        <stp/>
        <stp>VOLUME</stp>
        <stp>EU</stp>
        <tr r="F120" s="1"/>
      </tp>
      <tp>
        <v>158150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81"/>
  <sheetViews>
    <sheetView tabSelected="1" topLeftCell="A67" zoomScaleNormal="100" workbookViewId="0">
      <selection activeCell="A67" sqref="A1:A1048576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201</v>
      </c>
    </row>
    <row r="2" spans="1:1" x14ac:dyDescent="0.25">
      <c r="A2" t="s">
        <v>202</v>
      </c>
    </row>
    <row r="3" spans="1:1" x14ac:dyDescent="0.25">
      <c r="A3" t="s">
        <v>203</v>
      </c>
    </row>
    <row r="4" spans="1:1" x14ac:dyDescent="0.25">
      <c r="A4" t="s">
        <v>200</v>
      </c>
    </row>
    <row r="5" spans="1:1" x14ac:dyDescent="0.25">
      <c r="A5" t="s">
        <v>111</v>
      </c>
    </row>
    <row r="6" spans="1:1" x14ac:dyDescent="0.25">
      <c r="A6" t="s">
        <v>204</v>
      </c>
    </row>
    <row r="7" spans="1:1" x14ac:dyDescent="0.25">
      <c r="A7" t="s">
        <v>205</v>
      </c>
    </row>
    <row r="8" spans="1:1" x14ac:dyDescent="0.25">
      <c r="A8" t="s">
        <v>74</v>
      </c>
    </row>
    <row r="9" spans="1:1" x14ac:dyDescent="0.25">
      <c r="A9" t="s">
        <v>206</v>
      </c>
    </row>
    <row r="10" spans="1:1" x14ac:dyDescent="0.25">
      <c r="A10" t="s">
        <v>207</v>
      </c>
    </row>
    <row r="11" spans="1:1" x14ac:dyDescent="0.25">
      <c r="A11" t="s">
        <v>208</v>
      </c>
    </row>
    <row r="12" spans="1:1" x14ac:dyDescent="0.25">
      <c r="A12" t="s">
        <v>209</v>
      </c>
    </row>
    <row r="13" spans="1:1" x14ac:dyDescent="0.25">
      <c r="A13" t="s">
        <v>210</v>
      </c>
    </row>
    <row r="14" spans="1:1" x14ac:dyDescent="0.25">
      <c r="A14" t="s">
        <v>211</v>
      </c>
    </row>
    <row r="15" spans="1:1" x14ac:dyDescent="0.25">
      <c r="A15" t="s">
        <v>212</v>
      </c>
    </row>
    <row r="16" spans="1:1" x14ac:dyDescent="0.25">
      <c r="A16" t="s">
        <v>196</v>
      </c>
    </row>
    <row r="17" spans="1:1" x14ac:dyDescent="0.25">
      <c r="A17" t="s">
        <v>213</v>
      </c>
    </row>
    <row r="18" spans="1:1" x14ac:dyDescent="0.25">
      <c r="A18" t="s">
        <v>214</v>
      </c>
    </row>
    <row r="19" spans="1:1" x14ac:dyDescent="0.25">
      <c r="A19" t="s">
        <v>215</v>
      </c>
    </row>
    <row r="20" spans="1:1" x14ac:dyDescent="0.25">
      <c r="A20" t="s">
        <v>216</v>
      </c>
    </row>
    <row r="21" spans="1:1" x14ac:dyDescent="0.25">
      <c r="A21" t="s">
        <v>217</v>
      </c>
    </row>
    <row r="22" spans="1:1" x14ac:dyDescent="0.25">
      <c r="A22" t="s">
        <v>218</v>
      </c>
    </row>
    <row r="23" spans="1:1" x14ac:dyDescent="0.25">
      <c r="A23" t="s">
        <v>219</v>
      </c>
    </row>
    <row r="24" spans="1:1" x14ac:dyDescent="0.25">
      <c r="A24" t="s">
        <v>220</v>
      </c>
    </row>
    <row r="25" spans="1:1" x14ac:dyDescent="0.25">
      <c r="A25" t="s">
        <v>221</v>
      </c>
    </row>
    <row r="26" spans="1:1" x14ac:dyDescent="0.25">
      <c r="A26" t="s">
        <v>198</v>
      </c>
    </row>
    <row r="27" spans="1:1" x14ac:dyDescent="0.25">
      <c r="A27" t="s">
        <v>222</v>
      </c>
    </row>
    <row r="28" spans="1:1" x14ac:dyDescent="0.25">
      <c r="A28" t="s">
        <v>223</v>
      </c>
    </row>
    <row r="29" spans="1:1" x14ac:dyDescent="0.25">
      <c r="A29" t="s">
        <v>224</v>
      </c>
    </row>
    <row r="30" spans="1:1" x14ac:dyDescent="0.25">
      <c r="A30" t="s">
        <v>225</v>
      </c>
    </row>
    <row r="31" spans="1:1" x14ac:dyDescent="0.25">
      <c r="A31" t="s">
        <v>226</v>
      </c>
    </row>
    <row r="32" spans="1:1" x14ac:dyDescent="0.25">
      <c r="A32" t="s">
        <v>227</v>
      </c>
    </row>
    <row r="33" spans="1:1" x14ac:dyDescent="0.25">
      <c r="A33" t="s">
        <v>194</v>
      </c>
    </row>
    <row r="34" spans="1:1" x14ac:dyDescent="0.25">
      <c r="A34" t="s">
        <v>4</v>
      </c>
    </row>
    <row r="35" spans="1:1" x14ac:dyDescent="0.25">
      <c r="A35" t="s">
        <v>228</v>
      </c>
    </row>
    <row r="36" spans="1:1" x14ac:dyDescent="0.25">
      <c r="A36" t="s">
        <v>229</v>
      </c>
    </row>
    <row r="37" spans="1:1" x14ac:dyDescent="0.25">
      <c r="A37" t="s">
        <v>230</v>
      </c>
    </row>
    <row r="38" spans="1:1" x14ac:dyDescent="0.25">
      <c r="A38" t="s">
        <v>231</v>
      </c>
    </row>
    <row r="39" spans="1:1" x14ac:dyDescent="0.25">
      <c r="A39" t="s">
        <v>232</v>
      </c>
    </row>
    <row r="40" spans="1:1" x14ac:dyDescent="0.25">
      <c r="A40" t="s">
        <v>233</v>
      </c>
    </row>
    <row r="41" spans="1:1" x14ac:dyDescent="0.25">
      <c r="A41" t="s">
        <v>234</v>
      </c>
    </row>
    <row r="42" spans="1:1" x14ac:dyDescent="0.25">
      <c r="A42" t="s">
        <v>235</v>
      </c>
    </row>
    <row r="43" spans="1:1" x14ac:dyDescent="0.25">
      <c r="A43" t="s">
        <v>236</v>
      </c>
    </row>
    <row r="44" spans="1:1" x14ac:dyDescent="0.25">
      <c r="A44" t="s">
        <v>192</v>
      </c>
    </row>
    <row r="45" spans="1:1" x14ac:dyDescent="0.25">
      <c r="A45" t="s">
        <v>237</v>
      </c>
    </row>
    <row r="46" spans="1:1" x14ac:dyDescent="0.25">
      <c r="A46" t="s">
        <v>57</v>
      </c>
    </row>
    <row r="47" spans="1:1" x14ac:dyDescent="0.25">
      <c r="A47" t="s">
        <v>197</v>
      </c>
    </row>
    <row r="48" spans="1:1" x14ac:dyDescent="0.25">
      <c r="A48" t="s">
        <v>191</v>
      </c>
    </row>
    <row r="49" spans="1:1" x14ac:dyDescent="0.25">
      <c r="A49" t="s">
        <v>238</v>
      </c>
    </row>
    <row r="50" spans="1:1" x14ac:dyDescent="0.25">
      <c r="A50" t="s">
        <v>239</v>
      </c>
    </row>
    <row r="51" spans="1:1" x14ac:dyDescent="0.25">
      <c r="A51" t="s">
        <v>32</v>
      </c>
    </row>
    <row r="52" spans="1:1" x14ac:dyDescent="0.25">
      <c r="A52" t="s">
        <v>240</v>
      </c>
    </row>
    <row r="53" spans="1:1" x14ac:dyDescent="0.25">
      <c r="A53" t="s">
        <v>177</v>
      </c>
    </row>
    <row r="54" spans="1:1" x14ac:dyDescent="0.25">
      <c r="A54" t="s">
        <v>114</v>
      </c>
    </row>
    <row r="55" spans="1:1" x14ac:dyDescent="0.25">
      <c r="A55" t="s">
        <v>241</v>
      </c>
    </row>
    <row r="56" spans="1:1" x14ac:dyDescent="0.25">
      <c r="A56" t="s">
        <v>48</v>
      </c>
    </row>
    <row r="57" spans="1:1" x14ac:dyDescent="0.25">
      <c r="A57" t="s">
        <v>242</v>
      </c>
    </row>
    <row r="58" spans="1:1" x14ac:dyDescent="0.25">
      <c r="A58" t="s">
        <v>243</v>
      </c>
    </row>
    <row r="59" spans="1:1" x14ac:dyDescent="0.25">
      <c r="A59" t="s">
        <v>19</v>
      </c>
    </row>
    <row r="60" spans="1:1" x14ac:dyDescent="0.25">
      <c r="A60" t="s">
        <v>244</v>
      </c>
    </row>
    <row r="61" spans="1:1" x14ac:dyDescent="0.25">
      <c r="A61" t="s">
        <v>199</v>
      </c>
    </row>
    <row r="62" spans="1:1" x14ac:dyDescent="0.25">
      <c r="A62" t="s">
        <v>245</v>
      </c>
    </row>
    <row r="63" spans="1:1" x14ac:dyDescent="0.25">
      <c r="A63" t="s">
        <v>2</v>
      </c>
    </row>
    <row r="64" spans="1:1" x14ac:dyDescent="0.25">
      <c r="A64" t="s">
        <v>193</v>
      </c>
    </row>
    <row r="65" spans="1:1" x14ac:dyDescent="0.25">
      <c r="A65" t="s">
        <v>246</v>
      </c>
    </row>
    <row r="66" spans="1:1" x14ac:dyDescent="0.25">
      <c r="A66" t="s">
        <v>247</v>
      </c>
    </row>
    <row r="67" spans="1:1" x14ac:dyDescent="0.25">
      <c r="A67" t="s">
        <v>248</v>
      </c>
    </row>
    <row r="68" spans="1:1" x14ac:dyDescent="0.25">
      <c r="A68" t="s">
        <v>118</v>
      </c>
    </row>
    <row r="69" spans="1:1" x14ac:dyDescent="0.25">
      <c r="A69" t="s">
        <v>195</v>
      </c>
    </row>
    <row r="70" spans="1:1" x14ac:dyDescent="0.25">
      <c r="A70" t="s">
        <v>249</v>
      </c>
    </row>
    <row r="71" spans="1:1" x14ac:dyDescent="0.25">
      <c r="A71" t="s">
        <v>42</v>
      </c>
    </row>
    <row r="72" spans="1:1" x14ac:dyDescent="0.25">
      <c r="A72" t="s">
        <v>47</v>
      </c>
    </row>
    <row r="73" spans="1:1" x14ac:dyDescent="0.25">
      <c r="A73" t="s">
        <v>250</v>
      </c>
    </row>
    <row r="74" spans="1:1" x14ac:dyDescent="0.25">
      <c r="A74" t="s">
        <v>63</v>
      </c>
    </row>
    <row r="75" spans="1:1" x14ac:dyDescent="0.25">
      <c r="A75" t="s">
        <v>251</v>
      </c>
    </row>
    <row r="76" spans="1:1" x14ac:dyDescent="0.25">
      <c r="A76" t="s">
        <v>252</v>
      </c>
    </row>
    <row r="77" spans="1:1" x14ac:dyDescent="0.25">
      <c r="A77" t="s">
        <v>106</v>
      </c>
    </row>
    <row r="78" spans="1:1" x14ac:dyDescent="0.25">
      <c r="A78" t="s">
        <v>253</v>
      </c>
    </row>
    <row r="79" spans="1:1" x14ac:dyDescent="0.25">
      <c r="A79" t="s">
        <v>254</v>
      </c>
    </row>
    <row r="80" spans="1:1" x14ac:dyDescent="0.25">
      <c r="A80" t="s">
        <v>23</v>
      </c>
    </row>
    <row r="81" spans="1:1" x14ac:dyDescent="0.25">
      <c r="A81" t="s">
        <v>255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0.18010000000000001</v>
      </c>
      <c r="D69">
        <f>RTD("tos.rtd", , "MARK_CHANGE", "ZSPC")</f>
        <v>1E-4</v>
      </c>
      <c r="E69" t="str">
        <f>RTD("tos.rtd", , "MARK_PERCENT_CHANGE", "ZSPC")</f>
        <v>+0.06%</v>
      </c>
      <c r="F69">
        <f>RTD("tos.rtd", , "VOLUME", "ZSPC")</f>
        <v>785</v>
      </c>
      <c r="G69">
        <f>RTD("tos.rtd", , "BID", "ZSPC")</f>
        <v>0.18010000000000001</v>
      </c>
      <c r="H69">
        <f>RTD("tos.rtd", , "ASK", "ZSPC")</f>
        <v>0.2</v>
      </c>
      <c r="I69" t="str">
        <f>RTD("tos.rtd", , "MARKET_CAP", "ZSPC")</f>
        <v>0.86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7.17</v>
      </c>
      <c r="D70">
        <f>RTD("tos.rtd", , "MARK_CHANGE", "AGPU")</f>
        <v>0.01</v>
      </c>
      <c r="E70" t="str">
        <f>RTD("tos.rtd", , "MARK_PERCENT_CHANGE", "AGPU")</f>
        <v>+0.14%</v>
      </c>
      <c r="F70">
        <f>RTD("tos.rtd", , "VOLUME", "AGPU")</f>
        <v>66938</v>
      </c>
      <c r="G70">
        <f>RTD("tos.rtd", , "BID", "AGPU")</f>
        <v>7.13</v>
      </c>
      <c r="H70">
        <f>RTD("tos.rtd", , "ASK", "AGPU")</f>
        <v>7.21</v>
      </c>
      <c r="I70" t="str">
        <f>RTD("tos.rtd", , "MARKET_CAP", "AGPU")</f>
        <v>78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0.34920000000000001</v>
      </c>
      <c r="D71">
        <f>RTD("tos.rtd", , "MARK_CHANGE", "BIYA")</f>
        <v>1.32E-2</v>
      </c>
      <c r="E71" t="str">
        <f>RTD("tos.rtd", , "MARK_PERCENT_CHANGE", "BIYA")</f>
        <v>+3.93%</v>
      </c>
      <c r="F71">
        <f>RTD("tos.rtd", , "VOLUME", "BIYA")</f>
        <v>88660</v>
      </c>
      <c r="G71">
        <f>RTD("tos.rtd", , "BID", "BIYA")</f>
        <v>0.34429999999999999</v>
      </c>
      <c r="H71">
        <f>RTD("tos.rtd", , "ASK", "BIYA")</f>
        <v>0.34920000000000001</v>
      </c>
      <c r="I71" t="str">
        <f>RTD("tos.rtd", , "MARKET_CAP", "BIYA")</f>
        <v>1.4 M</v>
      </c>
      <c r="J71" t="str">
        <f>RTD("tos.rtd", , "CUSTOM3", "BIYA")</f>
        <v>loading</v>
      </c>
      <c r="K71" t="str">
        <f>RTD("tos.rtd", , "CUSTOM2", "BIYA")</f>
        <v>loading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2.5099999999999998</v>
      </c>
      <c r="D72">
        <f>RTD("tos.rtd", , "MARK_CHANGE", "RETO")</f>
        <v>-0.09</v>
      </c>
      <c r="E72" t="str">
        <f>RTD("tos.rtd", , "MARK_PERCENT_CHANGE", "RETO")</f>
        <v>-3.46%</v>
      </c>
      <c r="F72">
        <f>RTD("tos.rtd", , "VOLUME", "RETO")</f>
        <v>634</v>
      </c>
      <c r="G72">
        <f>RTD("tos.rtd", , "BID", "RETO")</f>
        <v>2.5</v>
      </c>
      <c r="H72">
        <f>RTD("tos.rtd", , "ASK", "RETO")</f>
        <v>2.6</v>
      </c>
      <c r="I72" t="str">
        <f>RTD("tos.rtd", , "MARKET_CAP", "RETO")</f>
        <v>21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0.93130000000000002</v>
      </c>
      <c r="D73">
        <f>RTD("tos.rtd", , "MARK_CHANGE", "ELPW")</f>
        <v>0.03</v>
      </c>
      <c r="E73" t="str">
        <f>RTD("tos.rtd", , "MARK_PERCENT_CHANGE", "ELPW")</f>
        <v>+3.33%</v>
      </c>
      <c r="F73">
        <f>RTD("tos.rtd", , "VOLUME", "ELPW")</f>
        <v>74790</v>
      </c>
      <c r="G73">
        <f>RTD("tos.rtd", , "BID", "ELPW")</f>
        <v>0.91</v>
      </c>
      <c r="H73">
        <f>RTD("tos.rtd", , "ASK", "ELPW")</f>
        <v>0.95389999999999997</v>
      </c>
      <c r="I73" t="str">
        <f>RTD("tos.rtd", , "MARKET_CAP", "ELPW")</f>
        <v>2.9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0.745</v>
      </c>
      <c r="D74">
        <f>RTD("tos.rtd", , "MARK_CHANGE", "KIDZ")</f>
        <v>-7.2499999999999995E-2</v>
      </c>
      <c r="E74" t="str">
        <f>RTD("tos.rtd", , "MARK_PERCENT_CHANGE", "KIDZ")</f>
        <v>-8.87%</v>
      </c>
      <c r="F74">
        <f>RTD("tos.rtd", , "VOLUME", "KIDZ")</f>
        <v>101453</v>
      </c>
      <c r="G74">
        <f>RTD("tos.rtd", , "BID", "KIDZ")</f>
        <v>0.72009999999999996</v>
      </c>
      <c r="H74">
        <f>RTD("tos.rtd", , "ASK", "KIDZ")</f>
        <v>0.745</v>
      </c>
      <c r="I74" t="str">
        <f>RTD("tos.rtd", , "MARKET_CAP", "KIDZ")</f>
        <v>0.59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0.66649999999999998</v>
      </c>
      <c r="D75">
        <f>RTD("tos.rtd", , "MARK_CHANGE", "LOBO")</f>
        <v>-2.3E-2</v>
      </c>
      <c r="E75" t="str">
        <f>RTD("tos.rtd", , "MARK_PERCENT_CHANGE", "LOBO")</f>
        <v>-3.34%</v>
      </c>
      <c r="F75">
        <f>RTD("tos.rtd", , "VOLUME", "LOBO")</f>
        <v>26645</v>
      </c>
      <c r="G75">
        <f>RTD("tos.rtd", , "BID", "LOBO")</f>
        <v>0.65290000000000004</v>
      </c>
      <c r="H75">
        <f>RTD("tos.rtd", , "ASK", "LOBO")</f>
        <v>0.66649999999999998</v>
      </c>
      <c r="I75" t="str">
        <f>RTD("tos.rtd", , "MARKET_CAP", "LOBO")</f>
        <v>9.2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2</v>
      </c>
      <c r="D76">
        <f>RTD("tos.rtd", , "MARK_CHANGE", "RPGL")</f>
        <v>0.05</v>
      </c>
      <c r="E76" t="str">
        <f>RTD("tos.rtd", , "MARK_PERCENT_CHANGE", "RPGL")</f>
        <v>+2.56%</v>
      </c>
      <c r="F76">
        <f>RTD("tos.rtd", , "VOLUME", "RPGL")</f>
        <v>8708</v>
      </c>
      <c r="G76">
        <f>RTD("tos.rtd", , "BID", "RPGL")</f>
        <v>2</v>
      </c>
      <c r="H76">
        <f>RTD("tos.rtd", , "ASK", "RPGL")</f>
        <v>2.1</v>
      </c>
      <c r="I76" t="str">
        <f>RTD("tos.rtd", , "MARKET_CAP", "RPGL")</f>
        <v>2.2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2.1</v>
      </c>
      <c r="D77">
        <f>RTD("tos.rtd", , "MARK_CHANGE", "CMND")</f>
        <v>-0.28000000000000003</v>
      </c>
      <c r="E77" t="str">
        <f>RTD("tos.rtd", , "MARK_PERCENT_CHANGE", "CMND")</f>
        <v>-11.76%</v>
      </c>
      <c r="F77">
        <f>RTD("tos.rtd", , "VOLUME", "CMND")</f>
        <v>4509307</v>
      </c>
      <c r="G77">
        <f>RTD("tos.rtd", , "BID", "CMND")</f>
        <v>2.08</v>
      </c>
      <c r="H77">
        <f>RTD("tos.rtd", , "ASK", "CMND")</f>
        <v>2.12</v>
      </c>
      <c r="I77" t="str">
        <f>RTD("tos.rtd", , "MARKET_CAP", "CMND")</f>
        <v>3.1 M</v>
      </c>
      <c r="J77" t="str">
        <f>RTD("tos.rtd", , "CUSTOM3", "CMND")</f>
        <v>loading</v>
      </c>
      <c r="K77">
        <f>RTD("tos.rtd", , "CUSTOM2", "CMND")</f>
        <v>35.93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7.81</v>
      </c>
      <c r="D78">
        <f>RTD("tos.rtd", , "MARK_CHANGE", "NMAX")</f>
        <v>0.32</v>
      </c>
      <c r="E78" t="str">
        <f>RTD("tos.rtd", , "MARK_PERCENT_CHANGE", "NMAX")</f>
        <v>+4.27%</v>
      </c>
      <c r="F78">
        <f>RTD("tos.rtd", , "VOLUME", "NMAX")</f>
        <v>321857</v>
      </c>
      <c r="G78">
        <f>RTD("tos.rtd", , "BID", "NMAX")</f>
        <v>7.77</v>
      </c>
      <c r="H78">
        <f>RTD("tos.rtd", , "ASK", "NMAX")</f>
        <v>7.85</v>
      </c>
      <c r="I78" t="str">
        <f>RTD("tos.rtd", , "MARKET_CAP", "NMAX")</f>
        <v>1,009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3.07</v>
      </c>
      <c r="D79">
        <f>RTD("tos.rtd", , "MARK_CHANGE", "PBM")</f>
        <v>0.1</v>
      </c>
      <c r="E79" t="str">
        <f>RTD("tos.rtd", , "MARK_PERCENT_CHANGE", "PBM")</f>
        <v>+3.37%</v>
      </c>
      <c r="F79">
        <f>RTD("tos.rtd", , "VOLUME", "PBM")</f>
        <v>8947</v>
      </c>
      <c r="G79">
        <f>RTD("tos.rtd", , "BID", "PBM")</f>
        <v>3.01</v>
      </c>
      <c r="H79">
        <f>RTD("tos.rtd", , "ASK", "PBM")</f>
        <v>3.07</v>
      </c>
      <c r="I79" t="str">
        <f>RTD("tos.rtd", , "MARKET_CAP", "PBM")</f>
        <v>12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0.40110000000000001</v>
      </c>
      <c r="D80">
        <f>RTD("tos.rtd", , "MARK_CHANGE", "GAME")</f>
        <v>1.11E-2</v>
      </c>
      <c r="E80" t="str">
        <f>RTD("tos.rtd", , "MARK_PERCENT_CHANGE", "GAME")</f>
        <v>+2.85%</v>
      </c>
      <c r="F80">
        <f>RTD("tos.rtd", , "VOLUME", "GAME")</f>
        <v>98868</v>
      </c>
      <c r="G80">
        <f>RTD("tos.rtd", , "BID", "GAME")</f>
        <v>0.4002</v>
      </c>
      <c r="H80">
        <f>RTD("tos.rtd", , "ASK", "GAME")</f>
        <v>0.40570000000000001</v>
      </c>
      <c r="I80" t="str">
        <f>RTD("tos.rtd", , "MARKET_CAP", "GAME")</f>
        <v>41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0.47310000000000002</v>
      </c>
      <c r="D81">
        <f>RTD("tos.rtd", , "MARK_CHANGE", "SLAI")</f>
        <v>7.3000000000000001E-3</v>
      </c>
      <c r="E81" t="str">
        <f>RTD("tos.rtd", , "MARK_PERCENT_CHANGE", "SLAI")</f>
        <v>+1.57%</v>
      </c>
      <c r="F81">
        <f>RTD("tos.rtd", , "VOLUME", "SLAI")</f>
        <v>12640</v>
      </c>
      <c r="G81">
        <f>RTD("tos.rtd", , "BID", "SLAI")</f>
        <v>0.47299999999999998</v>
      </c>
      <c r="H81">
        <f>RTD("tos.rtd", , "ASK", "SLAI")</f>
        <v>0.47689999999999999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0.41</v>
      </c>
      <c r="D82">
        <f>RTD("tos.rtd", , "MARK_CHANGE", "GSUN")</f>
        <v>0.02</v>
      </c>
      <c r="E82" t="str">
        <f>RTD("tos.rtd", , "MARK_PERCENT_CHANGE", "GSUN")</f>
        <v>+5.13%</v>
      </c>
      <c r="F82">
        <f>RTD("tos.rtd", , "VOLUME", "GSUN")</f>
        <v>6738</v>
      </c>
      <c r="G82">
        <f>RTD("tos.rtd", , "BID", "GSUN")</f>
        <v>0.3901</v>
      </c>
      <c r="H82">
        <f>RTD("tos.rtd", , "ASK", "GSUN")</f>
        <v>0.41499999999999998</v>
      </c>
      <c r="I82" t="str">
        <f>RTD("tos.rtd", , "MARKET_CAP", "GSUN")</f>
        <v>4.1 M</v>
      </c>
      <c r="J82" t="str">
        <f>RTD("tos.rtd", , "CUSTOM3", "GSUN")</f>
        <v>loading</v>
      </c>
      <c r="K82" t="str">
        <f>RTD("tos.rtd", , "CUSTOM2", "GSUN")</f>
        <v>loading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3.125</v>
      </c>
      <c r="D83">
        <f>RTD("tos.rtd", , "MARK_CHANGE", "LAES")</f>
        <v>5.0000000000000001E-3</v>
      </c>
      <c r="E83" t="str">
        <f>RTD("tos.rtd", , "MARK_PERCENT_CHANGE", "LAES")</f>
        <v>+0.16%</v>
      </c>
      <c r="F83">
        <f>RTD("tos.rtd", , "VOLUME", "LAES")</f>
        <v>1603869</v>
      </c>
      <c r="G83">
        <f>RTD("tos.rtd", , "BID", "LAES")</f>
        <v>3.12</v>
      </c>
      <c r="H83">
        <f>RTD("tos.rtd", , "ASK", "LAES")</f>
        <v>3.13</v>
      </c>
      <c r="I83" t="str">
        <f>RTD("tos.rtd", , "MARKET_CAP", "LAES")</f>
        <v>696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3.54</v>
      </c>
      <c r="D84">
        <f>RTD("tos.rtd", , "MARK_CHANGE", "BBAI")</f>
        <v>0.06</v>
      </c>
      <c r="E84" t="str">
        <f>RTD("tos.rtd", , "MARK_PERCENT_CHANGE", "BBAI")</f>
        <v>+1.72%</v>
      </c>
      <c r="F84">
        <f>RTD("tos.rtd", , "VOLUME", "BBAI")</f>
        <v>3907505</v>
      </c>
      <c r="G84">
        <f>RTD("tos.rtd", , "BID", "BBAI")</f>
        <v>3.54</v>
      </c>
      <c r="H84">
        <f>RTD("tos.rtd", , "ASK", "BBAI")</f>
        <v>3.55</v>
      </c>
      <c r="I84" t="str">
        <f>RTD("tos.rtd", , "MARKET_CAP", "BBAI")</f>
        <v>1,695 M</v>
      </c>
      <c r="J84" t="str">
        <f>RTD("tos.rtd", , "CUSTOM3", "BBAI")</f>
        <v>loading</v>
      </c>
      <c r="K84">
        <f>RTD("tos.rtd", , "CUSTOM2", "BBAI")</f>
        <v>40.75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2.93</v>
      </c>
      <c r="D85">
        <f>RTD("tos.rtd", , "MARK_CHANGE", "ANNA")</f>
        <v>0.09</v>
      </c>
      <c r="E85" t="str">
        <f>RTD("tos.rtd", , "MARK_PERCENT_CHANGE", "ANNA")</f>
        <v>+3.17%</v>
      </c>
      <c r="F85">
        <f>RTD("tos.rtd", , "VOLUME", "ANNA")</f>
        <v>30984</v>
      </c>
      <c r="G85">
        <f>RTD("tos.rtd", , "BID", "ANNA")</f>
        <v>2.87</v>
      </c>
      <c r="H85">
        <f>RTD("tos.rtd", , "ASK", "ANNA")</f>
        <v>2.93</v>
      </c>
      <c r="I85" t="str">
        <f>RTD("tos.rtd", , "MARKET_CAP", "ANNA")</f>
        <v>120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5.09</v>
      </c>
      <c r="D86">
        <f>RTD("tos.rtd", , "MARK_CHANGE", "SATL")</f>
        <v>0.47</v>
      </c>
      <c r="E86" t="str">
        <f>RTD("tos.rtd", , "MARK_PERCENT_CHANGE", "SATL")</f>
        <v>+10.17%</v>
      </c>
      <c r="F86">
        <f>RTD("tos.rtd", , "VOLUME", "SATL")</f>
        <v>2264689</v>
      </c>
      <c r="G86">
        <f>RTD("tos.rtd", , "BID", "SATL")</f>
        <v>5.09</v>
      </c>
      <c r="H86">
        <f>RTD("tos.rtd", , "ASK", "SATL")</f>
        <v>5.0999999999999996</v>
      </c>
      <c r="I86" t="str">
        <f>RTD("tos.rtd", , "MARKET_CAP", "SATL")</f>
        <v>755 M</v>
      </c>
      <c r="J86" t="str">
        <f>RTD("tos.rtd", , "CUSTOM3", "SATL")</f>
        <v>loading</v>
      </c>
      <c r="K86">
        <f>RTD("tos.rtd", , "CUSTOM2", "SATL")</f>
        <v>36.020000000000003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8.61</v>
      </c>
      <c r="D87">
        <f>RTD("tos.rtd", , "MARK_CHANGE", "IBRX")</f>
        <v>-0.1</v>
      </c>
      <c r="E87" t="str">
        <f>RTD("tos.rtd", , "MARK_PERCENT_CHANGE", "IBRX")</f>
        <v>-1.15%</v>
      </c>
      <c r="F87">
        <f>RTD("tos.rtd", , "VOLUME", "IBRX")</f>
        <v>4688369</v>
      </c>
      <c r="G87">
        <f>RTD("tos.rtd", , "BID", "IBRX")</f>
        <v>8.61</v>
      </c>
      <c r="H87">
        <f>RTD("tos.rtd", , "ASK", "IBRX")</f>
        <v>8.6199999999999992</v>
      </c>
      <c r="I87" t="str">
        <f>RTD("tos.rtd", , "MARKET_CAP", "IBRX")</f>
        <v>9,018 M</v>
      </c>
      <c r="J87" t="str">
        <f>RTD("tos.rtd", , "CUSTOM3", "IBRX")</f>
        <v>loading</v>
      </c>
      <c r="K87">
        <f>RTD("tos.rtd", , "CUSTOM2", "IBRX")</f>
        <v>34.619999999999997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1.4063000000000001</v>
      </c>
      <c r="D88">
        <f>RTD("tos.rtd", , "MARK_CHANGE", "SLNH")</f>
        <v>-2.3699999999999999E-2</v>
      </c>
      <c r="E88" t="str">
        <f>RTD("tos.rtd", , "MARK_PERCENT_CHANGE", "SLNH")</f>
        <v>-1.66%</v>
      </c>
      <c r="F88">
        <f>RTD("tos.rtd", , "VOLUME", "SLNH")</f>
        <v>2103614</v>
      </c>
      <c r="G88">
        <f>RTD("tos.rtd", , "BID", "SLNH")</f>
        <v>1.4</v>
      </c>
      <c r="H88">
        <f>RTD("tos.rtd", , "ASK", "SLNH")</f>
        <v>1.41</v>
      </c>
      <c r="I88" t="str">
        <f>RTD("tos.rtd", , "MARKET_CAP", "SLNH")</f>
        <v>222 M</v>
      </c>
      <c r="J88" t="str">
        <f>RTD("tos.rtd", , "CUSTOM3", "SLNH")</f>
        <v>loading</v>
      </c>
      <c r="K88">
        <f>RTD("tos.rtd", , "CUSTOM2", "SLNH")</f>
        <v>36.46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6.73</v>
      </c>
      <c r="D89">
        <f>RTD("tos.rtd", , "MARK_CHANGE", "BULL")</f>
        <v>-0.09</v>
      </c>
      <c r="E89" t="str">
        <f>RTD("tos.rtd", , "MARK_PERCENT_CHANGE", "BULL")</f>
        <v>-1.32%</v>
      </c>
      <c r="F89">
        <f>RTD("tos.rtd", , "VOLUME", "BULL")</f>
        <v>999040</v>
      </c>
      <c r="G89">
        <f>RTD("tos.rtd", , "BID", "BULL")</f>
        <v>6.72</v>
      </c>
      <c r="H89">
        <f>RTD("tos.rtd", , "ASK", "BULL")</f>
        <v>6.73</v>
      </c>
      <c r="I89" t="str">
        <f>RTD("tos.rtd", , "MARKET_CAP", "BULL")</f>
        <v>3,579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3.7749999999999999</v>
      </c>
      <c r="D90">
        <f>RTD("tos.rtd", , "MARK_CHANGE", "LAC")</f>
        <v>-1.4999999999999999E-2</v>
      </c>
      <c r="E90" t="str">
        <f>RTD("tos.rtd", , "MARK_PERCENT_CHANGE", "LAC")</f>
        <v>-0.40%</v>
      </c>
      <c r="F90">
        <f>RTD("tos.rtd", , "VOLUME", "LAC")</f>
        <v>1196293</v>
      </c>
      <c r="G90">
        <f>RTD("tos.rtd", , "BID", "LAC")</f>
        <v>3.77</v>
      </c>
      <c r="H90">
        <f>RTD("tos.rtd", , "ASK", "LAC")</f>
        <v>3.78</v>
      </c>
      <c r="I90" t="str">
        <f>RTD("tos.rtd", , "MARKET_CAP", "LAC")</f>
        <v>1,325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1.1299999999999999</v>
      </c>
      <c r="D91">
        <f>RTD("tos.rtd", , "MARK_CHANGE", "JZXN")</f>
        <v>-0.02</v>
      </c>
      <c r="E91" t="str">
        <f>RTD("tos.rtd", , "MARK_PERCENT_CHANGE", "JZXN")</f>
        <v>-1.74%</v>
      </c>
      <c r="F91">
        <f>RTD("tos.rtd", , "VOLUME", "JZXN")</f>
        <v>112975</v>
      </c>
      <c r="G91">
        <f>RTD("tos.rtd", , "BID", "JZXN")</f>
        <v>1.1200000000000001</v>
      </c>
      <c r="H91">
        <f>RTD("tos.rtd", , "ASK", "JZXN")</f>
        <v>1.18</v>
      </c>
      <c r="I91" t="str">
        <f>RTD("tos.rtd", , "MARKET_CAP", "JZXN")</f>
        <v>1.5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0.71609999999999996</v>
      </c>
      <c r="D92">
        <f>RTD("tos.rtd", , "MARK_CHANGE", "ORBS")</f>
        <v>-1.9900000000000001E-2</v>
      </c>
      <c r="E92" t="str">
        <f>RTD("tos.rtd", , "MARK_PERCENT_CHANGE", "ORBS")</f>
        <v>-2.70%</v>
      </c>
      <c r="F92">
        <f>RTD("tos.rtd", , "VOLUME", "ORBS")</f>
        <v>2149711</v>
      </c>
      <c r="G92">
        <f>RTD("tos.rtd", , "BID", "ORBS")</f>
        <v>0.71530000000000005</v>
      </c>
      <c r="H92">
        <f>RTD("tos.rtd", , "ASK", "ORBS")</f>
        <v>0.71699999999999997</v>
      </c>
      <c r="I92" t="str">
        <f>RTD("tos.rtd", , "MARKET_CAP", "ORBS")</f>
        <v>278 M</v>
      </c>
      <c r="J92" t="str">
        <f>RTD("tos.rtd", , "CUSTOM3", "ORBS")</f>
        <v>loading</v>
      </c>
      <c r="K92" t="str">
        <f>RTD("tos.rtd", , "CUSTOM2", "ORBS")</f>
        <v>loading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5.63</v>
      </c>
      <c r="D93">
        <f>RTD("tos.rtd", , "MARK_CHANGE", "NUAI")</f>
        <v>-0.28999999999999998</v>
      </c>
      <c r="E93" t="str">
        <f>RTD("tos.rtd", , "MARK_PERCENT_CHANGE", "NUAI")</f>
        <v>-4.90%</v>
      </c>
      <c r="F93">
        <f>RTD("tos.rtd", , "VOLUME", "NUAI")</f>
        <v>1760002</v>
      </c>
      <c r="G93">
        <f>RTD("tos.rtd", , "BID", "NUAI")</f>
        <v>5.62</v>
      </c>
      <c r="H93">
        <f>RTD("tos.rtd", , "ASK", "NUAI")</f>
        <v>5.64</v>
      </c>
      <c r="I93" t="str">
        <f>RTD("tos.rtd", , "MARKET_CAP", "NUAI")</f>
        <v>570 M</v>
      </c>
      <c r="J93" t="str">
        <f>RTD("tos.rtd", , "CUSTOM3", "NUAI")</f>
        <v>loading</v>
      </c>
      <c r="K93" t="str">
        <f>RTD("tos.rtd", , "CUSTOM2", "NUAI")</f>
        <v>loading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8.56</v>
      </c>
      <c r="D94">
        <f>RTD("tos.rtd", , "MARK_CHANGE", "TE")</f>
        <v>0.35</v>
      </c>
      <c r="E94" t="str">
        <f>RTD("tos.rtd", , "MARK_PERCENT_CHANGE", "TE")</f>
        <v>+4.26%</v>
      </c>
      <c r="F94">
        <f>RTD("tos.rtd", , "VOLUME", "TE")</f>
        <v>4498894</v>
      </c>
      <c r="G94">
        <f>RTD("tos.rtd", , "BID", "TE")</f>
        <v>8.5500000000000007</v>
      </c>
      <c r="H94">
        <f>RTD("tos.rtd", , "ASK", "TE")</f>
        <v>8.56</v>
      </c>
      <c r="I94" t="str">
        <f>RTD("tos.rtd", , "MARKET_CAP", "TE")</f>
        <v>2,391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0.97829999999999995</v>
      </c>
      <c r="D95">
        <f>RTD("tos.rtd", , "MARK_CHANGE", "SRFM")</f>
        <v>7.6399999999999996E-2</v>
      </c>
      <c r="E95" t="str">
        <f>RTD("tos.rtd", , "MARK_PERCENT_CHANGE", "SRFM")</f>
        <v>+8.47%</v>
      </c>
      <c r="F95">
        <f>RTD("tos.rtd", , "VOLUME", "SRFM")</f>
        <v>72935373</v>
      </c>
      <c r="G95">
        <f>RTD("tos.rtd", , "BID", "SRFM")</f>
        <v>0.97650000000000003</v>
      </c>
      <c r="H95">
        <f>RTD("tos.rtd", , "ASK", "SRFM")</f>
        <v>0.98</v>
      </c>
      <c r="I95" t="str">
        <f>RTD("tos.rtd", , "MARKET_CAP", "SRFM")</f>
        <v>98 M</v>
      </c>
      <c r="J95" t="str">
        <f>RTD("tos.rtd", , "CUSTOM3", "SRFM")</f>
        <v>loading</v>
      </c>
      <c r="K95">
        <f>RTD("tos.rtd", , "CUSTOM2", "SRFM")</f>
        <v>4.5125000000000002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0.85540000000000005</v>
      </c>
      <c r="D96">
        <f>RTD("tos.rtd", , "MARK_CHANGE", "UAVS")</f>
        <v>-1.15E-2</v>
      </c>
      <c r="E96" t="str">
        <f>RTD("tos.rtd", , "MARK_PERCENT_CHANGE", "UAVS")</f>
        <v>-1.33%</v>
      </c>
      <c r="F96">
        <f>RTD("tos.rtd", , "VOLUME", "UAVS")</f>
        <v>106318</v>
      </c>
      <c r="G96">
        <f>RTD("tos.rtd", , "BID", "UAVS")</f>
        <v>0.85009999999999997</v>
      </c>
      <c r="H96">
        <f>RTD("tos.rtd", , "ASK", "UAVS")</f>
        <v>0.8599</v>
      </c>
      <c r="I96" t="str">
        <f>RTD("tos.rtd", , "MARKET_CAP", "UAVS")</f>
        <v>50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0.84870000000000001</v>
      </c>
      <c r="D97">
        <f>RTD("tos.rtd", , "MARK_CHANGE", "TRX")</f>
        <v>-1.1299999999999999E-2</v>
      </c>
      <c r="E97" t="str">
        <f>RTD("tos.rtd", , "MARK_PERCENT_CHANGE", "TRX")</f>
        <v>-1.31%</v>
      </c>
      <c r="F97">
        <f>RTD("tos.rtd", , "VOLUME", "TRX")</f>
        <v>346651</v>
      </c>
      <c r="G97">
        <f>RTD("tos.rtd", , "BID", "TRX")</f>
        <v>0.84370000000000001</v>
      </c>
      <c r="H97">
        <f>RTD("tos.rtd", , "ASK", "TRX")</f>
        <v>0.8538</v>
      </c>
      <c r="I97" t="str">
        <f>RTD("tos.rtd", , "MARKET_CAP", "TRX")</f>
        <v>276 M</v>
      </c>
      <c r="J97" t="str">
        <f>RTD("tos.rtd", , "CUSTOM3", "TRX")</f>
        <v>loading</v>
      </c>
      <c r="K97" t="str">
        <f>RTD("tos.rtd", , "CUSTOM2", "TRX")</f>
        <v>loading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3.81</v>
      </c>
      <c r="D98">
        <f>RTD("tos.rtd", , "MARK_CHANGE", "HIVE")</f>
        <v>-0.22</v>
      </c>
      <c r="E98" t="str">
        <f>RTD("tos.rtd", , "MARK_PERCENT_CHANGE", "HIVE")</f>
        <v>-5.46%</v>
      </c>
      <c r="F98">
        <f>RTD("tos.rtd", , "VOLUME", "HIVE")</f>
        <v>6582311</v>
      </c>
      <c r="G98">
        <f>RTD("tos.rtd", , "BID", "HIVE")</f>
        <v>3.81</v>
      </c>
      <c r="H98">
        <f>RTD("tos.rtd", , "ASK", "HIVE")</f>
        <v>3.82</v>
      </c>
      <c r="I98" t="str">
        <f>RTD("tos.rtd", , "MARKET_CAP", "HIVE")</f>
        <v>1,019 M</v>
      </c>
      <c r="J98" t="str">
        <f>RTD("tos.rtd", , "CUSTOM3", "HIVE")</f>
        <v>loading</v>
      </c>
      <c r="K98">
        <f>RTD("tos.rtd", , "CUSTOM2", "HIVE")</f>
        <v>3.68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6.3789999999999996</v>
      </c>
      <c r="D99">
        <f>RTD("tos.rtd", , "MARK_CHANGE", "SOUN")</f>
        <v>-3.1E-2</v>
      </c>
      <c r="E99" t="str">
        <f>RTD("tos.rtd", , "MARK_PERCENT_CHANGE", "SOUN")</f>
        <v>-0.48%</v>
      </c>
      <c r="F99">
        <f>RTD("tos.rtd", , "VOLUME", "SOUN")</f>
        <v>2887109</v>
      </c>
      <c r="G99">
        <f>RTD("tos.rtd", , "BID", "SOUN")</f>
        <v>6.37</v>
      </c>
      <c r="H99">
        <f>RTD("tos.rtd", , "ASK", "SOUN")</f>
        <v>6.38</v>
      </c>
      <c r="I99" t="str">
        <f>RTD("tos.rtd", , "MARKET_CAP", "SOUN")</f>
        <v>2,761 M</v>
      </c>
      <c r="J99" t="str">
        <f>RTD("tos.rtd", , "CUSTOM3", "SOUN")</f>
        <v>loading</v>
      </c>
      <c r="K99">
        <f>RTD("tos.rtd", , "CUSTOM2", "SOUN")</f>
        <v>5.4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1.8601000000000001</v>
      </c>
      <c r="D100">
        <f>RTD("tos.rtd", , "MARK_CHANGE", "BTBT")</f>
        <v>-0.12989999999999999</v>
      </c>
      <c r="E100" t="str">
        <f>RTD("tos.rtd", , "MARK_PERCENT_CHANGE", "BTBT")</f>
        <v>-6.53%</v>
      </c>
      <c r="F100">
        <f>RTD("tos.rtd", , "VOLUME", "BTBT")</f>
        <v>2373104</v>
      </c>
      <c r="G100">
        <f>RTD("tos.rtd", , "BID", "BTBT")</f>
        <v>1.86</v>
      </c>
      <c r="H100">
        <f>RTD("tos.rtd", , "ASK", "BTBT")</f>
        <v>1.87</v>
      </c>
      <c r="I100" t="str">
        <f>RTD("tos.rtd", , "MARKET_CAP", "BTBT")</f>
        <v>650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4.3600000000000003</v>
      </c>
      <c r="D101">
        <f>RTD("tos.rtd", , "MARK_CHANGE", "OPEN")</f>
        <v>-0.01</v>
      </c>
      <c r="E101" t="str">
        <f>RTD("tos.rtd", , "MARK_PERCENT_CHANGE", "OPEN")</f>
        <v>-0.23%</v>
      </c>
      <c r="F101">
        <f>RTD("tos.rtd", , "VOLUME", "OPEN")</f>
        <v>5736203</v>
      </c>
      <c r="G101">
        <f>RTD("tos.rtd", , "BID", "OPEN")</f>
        <v>4.3499999999999996</v>
      </c>
      <c r="H101">
        <f>RTD("tos.rtd", , "ASK", "OPEN")</f>
        <v>4.3600000000000003</v>
      </c>
      <c r="I101" t="str">
        <f>RTD("tos.rtd", , "MARKET_CAP", "OPEN")</f>
        <v>4,206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6.01</v>
      </c>
      <c r="D102">
        <f>RTD("tos.rtd", , "MARK_CHANGE", "EOSE")</f>
        <v>0.08</v>
      </c>
      <c r="E102" t="str">
        <f>RTD("tos.rtd", , "MARK_PERCENT_CHANGE", "EOSE")</f>
        <v>+1.35%</v>
      </c>
      <c r="F102">
        <f>RTD("tos.rtd", , "VOLUME", "EOSE")</f>
        <v>3416068</v>
      </c>
      <c r="G102">
        <f>RTD("tos.rtd", , "BID", "EOSE")</f>
        <v>6.01</v>
      </c>
      <c r="H102">
        <f>RTD("tos.rtd", , "ASK", "EOSE")</f>
        <v>6.02</v>
      </c>
      <c r="I102" t="str">
        <f>RTD("tos.rtd", , "MARKET_CAP", "EOSE")</f>
        <v>2,040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2.02</v>
      </c>
      <c r="D103">
        <f>RTD("tos.rtd", , "MARK_CHANGE", "RR")</f>
        <v>0.08</v>
      </c>
      <c r="E103" t="str">
        <f>RTD("tos.rtd", , "MARK_PERCENT_CHANGE", "RR")</f>
        <v>+4.12%</v>
      </c>
      <c r="F103">
        <f>RTD("tos.rtd", , "VOLUME", "RR")</f>
        <v>1906156</v>
      </c>
      <c r="G103">
        <f>RTD("tos.rtd", , "BID", "RR")</f>
        <v>2.0099999999999998</v>
      </c>
      <c r="H103">
        <f>RTD("tos.rtd", , "ASK", "RR")</f>
        <v>2.02</v>
      </c>
      <c r="I103" t="str">
        <f>RTD("tos.rtd", , "MARKET_CAP", "RR")</f>
        <v>452 M</v>
      </c>
      <c r="J103" t="str">
        <f>RTD("tos.rtd", , "CUSTOM3", "RR")</f>
        <v>loading</v>
      </c>
      <c r="K103">
        <f>RTD("tos.rtd", , "CUSTOM2", "RR")</f>
        <v>34.29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2.57</v>
      </c>
      <c r="D104">
        <f>RTD("tos.rtd", , "MARK_CHANGE", "PLUG")</f>
        <v>3.0099999999999998E-2</v>
      </c>
      <c r="E104" t="str">
        <f>RTD("tos.rtd", , "MARK_PERCENT_CHANGE", "PLUG")</f>
        <v>+1.19%</v>
      </c>
      <c r="F104">
        <f>RTD("tos.rtd", , "VOLUME", "PLUG")</f>
        <v>7762027</v>
      </c>
      <c r="G104">
        <f>RTD("tos.rtd", , "BID", "PLUG")</f>
        <v>2.57</v>
      </c>
      <c r="H104">
        <f>RTD("tos.rtd", , "ASK", "PLUG")</f>
        <v>2.58</v>
      </c>
      <c r="I104" t="str">
        <f>RTD("tos.rtd", , "MARKET_CAP", "PLUG")</f>
        <v>3,585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8.7750000000000004</v>
      </c>
      <c r="D105">
        <f>RTD("tos.rtd", , "MARK_CHANGE", "JOBY")</f>
        <v>-5.5E-2</v>
      </c>
      <c r="E105" t="str">
        <f>RTD("tos.rtd", , "MARK_PERCENT_CHANGE", "JOBY")</f>
        <v>-0.62%</v>
      </c>
      <c r="F105">
        <f>RTD("tos.rtd", , "VOLUME", "JOBY")</f>
        <v>2764541</v>
      </c>
      <c r="G105">
        <f>RTD("tos.rtd", , "BID", "JOBY")</f>
        <v>8.77</v>
      </c>
      <c r="H105">
        <f>RTD("tos.rtd", , "ASK", "JOBY")</f>
        <v>8.7799999999999994</v>
      </c>
      <c r="I105" t="str">
        <f>RTD("tos.rtd", , "MARKET_CAP", "JOBY")</f>
        <v>8,631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0.71109999999999995</v>
      </c>
      <c r="D106">
        <f>RTD("tos.rtd", , "MARK_CHANGE", "ABTC")</f>
        <v>-6.8999999999999999E-3</v>
      </c>
      <c r="E106" t="str">
        <f>RTD("tos.rtd", , "MARK_PERCENT_CHANGE", "ABTC")</f>
        <v>-0.96%</v>
      </c>
      <c r="F106">
        <f>RTD("tos.rtd", , "VOLUME", "ABTC")</f>
        <v>773076</v>
      </c>
      <c r="G106">
        <f>RTD("tos.rtd", , "BID", "ABTC")</f>
        <v>0.71060000000000001</v>
      </c>
      <c r="H106">
        <f>RTD("tos.rtd", , "ASK", "ABTC")</f>
        <v>0.71179999999999999</v>
      </c>
      <c r="I106" t="str">
        <f>RTD("tos.rtd", , "MARKET_CAP", "ABTC")</f>
        <v>756 M</v>
      </c>
      <c r="J106" t="str">
        <f>RTD("tos.rtd", , "CUSTOM3", "ABTC")</f>
        <v>loading</v>
      </c>
      <c r="K106" t="str">
        <f>RTD("tos.rtd", , "CUSTOM2", "ABTC")</f>
        <v>loading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4.8449999999999998</v>
      </c>
      <c r="D107">
        <f>RTD("tos.rtd", , "MARK_CHANGE", "ACHR")</f>
        <v>-2.5000000000000001E-2</v>
      </c>
      <c r="E107" t="str">
        <f>RTD("tos.rtd", , "MARK_PERCENT_CHANGE", "ACHR")</f>
        <v>-0.51%</v>
      </c>
      <c r="F107">
        <f>RTD("tos.rtd", , "VOLUME", "ACHR")</f>
        <v>3791746</v>
      </c>
      <c r="G107">
        <f>RTD("tos.rtd", , "BID", "ACHR")</f>
        <v>4.84</v>
      </c>
      <c r="H107">
        <f>RTD("tos.rtd", , "ASK", "ACHR")</f>
        <v>4.8499999999999996</v>
      </c>
      <c r="I107" t="str">
        <f>RTD("tos.rtd", , "MARKET_CAP", "ACHR")</f>
        <v>3,696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1.48</v>
      </c>
      <c r="D108">
        <f>RTD("tos.rtd", , "MARK_CHANGE", "ADSLF")</f>
        <v>0.13</v>
      </c>
      <c r="E108" t="str">
        <f>RTD("tos.rtd", , "MARK_PERCENT_CHANGE", "ADSLF")</f>
        <v>+9.63%</v>
      </c>
      <c r="F108">
        <f>RTD("tos.rtd", , "VOLUME", "ADSLF")</f>
        <v>10614</v>
      </c>
      <c r="G108">
        <f>RTD("tos.rtd", , "BID", "ADSLF")</f>
        <v>1.32</v>
      </c>
      <c r="H108">
        <f>RTD("tos.rtd", , "ASK", "ADSLF")</f>
        <v>1.55</v>
      </c>
      <c r="I108" t="str">
        <f>RTD("tos.rtd", , "MARKET_CAP", "ADSLF")</f>
        <v>316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3.3</v>
      </c>
      <c r="D109">
        <f>RTD("tos.rtd", , "MARK_CHANGE", "CYH")</f>
        <v>0.02</v>
      </c>
      <c r="E109" t="str">
        <f>RTD("tos.rtd", , "MARK_PERCENT_CHANGE", "CYH")</f>
        <v>+0.61%</v>
      </c>
      <c r="F109">
        <f>RTD("tos.rtd", , "VOLUME", "CYH")</f>
        <v>75292</v>
      </c>
      <c r="G109">
        <f>RTD("tos.rtd", , "BID", "CYH")</f>
        <v>3.3</v>
      </c>
      <c r="H109">
        <f>RTD("tos.rtd", , "ASK", "CYH")</f>
        <v>3.31</v>
      </c>
      <c r="I109" t="str">
        <f>RTD("tos.rtd", , "MARKET_CAP", "CYH")</f>
        <v>465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5.9550000000000001</v>
      </c>
      <c r="D110">
        <f>RTD("tos.rtd", , "MARK_CHANGE", "ENVX")</f>
        <v>5.0000000000000001E-3</v>
      </c>
      <c r="E110" t="str">
        <f>RTD("tos.rtd", , "MARK_PERCENT_CHANGE", "ENVX")</f>
        <v>+0.08%</v>
      </c>
      <c r="F110">
        <f>RTD("tos.rtd", , "VOLUME", "ENVX")</f>
        <v>738597</v>
      </c>
      <c r="G110">
        <f>RTD("tos.rtd", , "BID", "ENVX")</f>
        <v>5.95</v>
      </c>
      <c r="H110">
        <f>RTD("tos.rtd", , "ASK", "ENVX")</f>
        <v>5.96</v>
      </c>
      <c r="I110" t="str">
        <f>RTD("tos.rtd", , "MARKET_CAP", "ENVX")</f>
        <v>1,299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0.47760000000000002</v>
      </c>
      <c r="D111">
        <f>RTD("tos.rtd", , "MARK_CHANGE", "EONR")</f>
        <v>2.5999999999999999E-3</v>
      </c>
      <c r="E111" t="str">
        <f>RTD("tos.rtd", , "MARK_PERCENT_CHANGE", "EONR")</f>
        <v>+0.55%</v>
      </c>
      <c r="F111">
        <f>RTD("tos.rtd", , "VOLUME", "EONR")</f>
        <v>323721</v>
      </c>
      <c r="G111">
        <f>RTD("tos.rtd", , "BID", "EONR")</f>
        <v>0.4758</v>
      </c>
      <c r="H111">
        <f>RTD("tos.rtd", , "ASK", "EONR")</f>
        <v>0.48049999999999998</v>
      </c>
      <c r="I111" t="str">
        <f>RTD("tos.rtd", , "MARKET_CAP", "EONR")</f>
        <v>24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2.8420000000000001</v>
      </c>
      <c r="D112">
        <f>RTD("tos.rtd", , "MARK_CHANGE", "LNVGF")</f>
        <v>-0.158</v>
      </c>
      <c r="E112" t="str">
        <f>RTD("tos.rtd", , "MARK_PERCENT_CHANGE", "LNVGF")</f>
        <v>-5.27%</v>
      </c>
      <c r="F112">
        <f>RTD("tos.rtd", , "VOLUME", "LNVGF")</f>
        <v>2210</v>
      </c>
      <c r="G112">
        <f>RTD("tos.rtd", , "BID", "LNVGF")</f>
        <v>2.68</v>
      </c>
      <c r="H112">
        <f>RTD("tos.rtd", , "ASK", "LNVGF")</f>
        <v>2.95</v>
      </c>
      <c r="I112" t="str">
        <f>RTD("tos.rtd", , "MARKET_CAP", "LNVGF")</f>
        <v>35,254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4.5199999999999996</v>
      </c>
      <c r="D113">
        <f>RTD("tos.rtd", , "MARK_CHANGE", "MX")</f>
        <v>-0.13</v>
      </c>
      <c r="E113" t="str">
        <f>RTD("tos.rtd", , "MARK_PERCENT_CHANGE", "MX")</f>
        <v>-2.80%</v>
      </c>
      <c r="F113">
        <f>RTD("tos.rtd", , "VOLUME", "MX")</f>
        <v>158150</v>
      </c>
      <c r="G113">
        <f>RTD("tos.rtd", , "BID", "MX")</f>
        <v>4.51</v>
      </c>
      <c r="H113">
        <f>RTD("tos.rtd", , "ASK", "MX")</f>
        <v>4.53</v>
      </c>
      <c r="I113" t="str">
        <f>RTD("tos.rtd", , "MARKET_CAP", "MX")</f>
        <v>165 M</v>
      </c>
      <c r="J113" t="str">
        <f>RTD("tos.rtd", , "CUSTOM3", "MX")</f>
        <v>loading</v>
      </c>
      <c r="K113" t="str">
        <f>RTD("tos.rtd", , "CUSTOM2", "MX")</f>
        <v>loading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5.7050000000000001</v>
      </c>
      <c r="D114">
        <f>RTD("tos.rtd", , "MARK_CHANGE", "ROLR")</f>
        <v>-0.245</v>
      </c>
      <c r="E114" t="str">
        <f>RTD("tos.rtd", , "MARK_PERCENT_CHANGE", "ROLR")</f>
        <v>-4.12%</v>
      </c>
      <c r="F114">
        <f>RTD("tos.rtd", , "VOLUME", "ROLR")</f>
        <v>25475</v>
      </c>
      <c r="G114">
        <f>RTD("tos.rtd", , "BID", "ROLR")</f>
        <v>5.66</v>
      </c>
      <c r="H114">
        <f>RTD("tos.rtd", , "ASK", "ROLR")</f>
        <v>5.75</v>
      </c>
      <c r="I114" t="str">
        <f>RTD("tos.rtd", , "MARKET_CAP", "ROLR")</f>
        <v>63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2.75</v>
      </c>
      <c r="D115">
        <f>RTD("tos.rtd", , "MARK_CHANGE", "SIDU")</f>
        <v>0.14000000000000001</v>
      </c>
      <c r="E115" t="str">
        <f>RTD("tos.rtd", , "MARK_PERCENT_CHANGE", "SIDU")</f>
        <v>+5.36%</v>
      </c>
      <c r="F115">
        <f>RTD("tos.rtd", , "VOLUME", "SIDU")</f>
        <v>3284224</v>
      </c>
      <c r="G115">
        <f>RTD("tos.rtd", , "BID", "SIDU")</f>
        <v>2.74</v>
      </c>
      <c r="H115">
        <f>RTD("tos.rtd", , "ASK", "SIDU")</f>
        <v>2.75</v>
      </c>
      <c r="I115" t="str">
        <f>RTD("tos.rtd", , "MARKET_CAP", "SIDU")</f>
        <v>268 M</v>
      </c>
      <c r="J115" t="str">
        <f>RTD("tos.rtd", , "CUSTOM3", "SIDU")</f>
        <v>loading</v>
      </c>
      <c r="K115">
        <f>RTD("tos.rtd", , "CUSTOM2", "SIDU")</f>
        <v>28.85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0.72089999999999999</v>
      </c>
      <c r="D116">
        <f>RTD("tos.rtd", , "MARK_CHANGE", "TMDE")</f>
        <v>8.9999999999999998E-4</v>
      </c>
      <c r="E116" t="str">
        <f>RTD("tos.rtd", , "MARK_PERCENT_CHANGE", "TMDE")</f>
        <v>+0.13%</v>
      </c>
      <c r="F116">
        <f>RTD("tos.rtd", , "VOLUME", "TMDE")</f>
        <v>439722</v>
      </c>
      <c r="G116">
        <f>RTD("tos.rtd", , "BID", "TMDE")</f>
        <v>0.72089999999999999</v>
      </c>
      <c r="H116">
        <f>RTD("tos.rtd", , "ASK", "TMDE")</f>
        <v>0.73819999999999997</v>
      </c>
      <c r="I116" t="str">
        <f>RTD("tos.rtd", , "MARKET_CAP", "TMDE")</f>
        <v>17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14.484999999999999</v>
      </c>
      <c r="D118">
        <f>RTD("tos.rtd", , "MARK_CHANGE", "SMX")</f>
        <v>-1.4999999999999999E-2</v>
      </c>
      <c r="E118" t="str">
        <f>RTD("tos.rtd", , "MARK_PERCENT_CHANGE", "SMX")</f>
        <v>-0.10%</v>
      </c>
      <c r="F118">
        <f>RTD("tos.rtd", , "VOLUME", "SMX")</f>
        <v>2799</v>
      </c>
      <c r="G118">
        <f>RTD("tos.rtd", , "BID", "SMX")</f>
        <v>14</v>
      </c>
      <c r="H118">
        <f>RTD("tos.rtd", , "ASK", "SMX")</f>
        <v>14.97</v>
      </c>
      <c r="I118" t="str">
        <f>RTD("tos.rtd", , "MARKET_CAP", "SMX")</f>
        <v>9.4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1.2</v>
      </c>
      <c r="D119">
        <f>RTD("tos.rtd", , "MARK_CHANGE", "ELAB")</f>
        <v>0.06</v>
      </c>
      <c r="E119" t="str">
        <f>RTD("tos.rtd", , "MARK_PERCENT_CHANGE", "ELAB")</f>
        <v>+5.26%</v>
      </c>
      <c r="F119">
        <f>RTD("tos.rtd", , "VOLUME", "ELAB")</f>
        <v>105292</v>
      </c>
      <c r="G119">
        <f>RTD("tos.rtd", , "BID", "ELAB")</f>
        <v>1.2</v>
      </c>
      <c r="H119">
        <f>RTD("tos.rtd", , "ASK", "ELAB")</f>
        <v>1.21</v>
      </c>
      <c r="I119" t="str">
        <f>RTD("tos.rtd", , "MARKET_CAP", "ELAB")</f>
        <v>5.5 M</v>
      </c>
      <c r="J119" t="str">
        <f>RTD("tos.rtd", , "CUSTOM3", "ELAB")</f>
        <v>loading</v>
      </c>
      <c r="K119" t="str">
        <f>RTD("tos.rtd", , "CUSTOM2", "ELAB")</f>
        <v>loading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1.325</v>
      </c>
      <c r="D120">
        <f>RTD("tos.rtd", , "MARK_CHANGE", "EU")</f>
        <v>-2.5000000000000001E-2</v>
      </c>
      <c r="E120" t="str">
        <f>RTD("tos.rtd", , "MARK_PERCENT_CHANGE", "EU")</f>
        <v>-1.85%</v>
      </c>
      <c r="F120">
        <f>RTD("tos.rtd", , "VOLUME", "EU")</f>
        <v>258557</v>
      </c>
      <c r="G120">
        <f>RTD("tos.rtd", , "BID", "EU")</f>
        <v>1.32</v>
      </c>
      <c r="H120">
        <f>RTD("tos.rtd", , "ASK", "EU")</f>
        <v>1.33</v>
      </c>
      <c r="I120" t="str">
        <f>RTD("tos.rtd", , "MARKET_CAP", "EU")</f>
        <v>257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1.3001</v>
      </c>
      <c r="D121">
        <f>RTD("tos.rtd", , "MARK_CHANGE", "BATL")</f>
        <v>7.0099999999999996E-2</v>
      </c>
      <c r="E121" t="str">
        <f>RTD("tos.rtd", , "MARK_PERCENT_CHANGE", "BATL")</f>
        <v>+5.70%</v>
      </c>
      <c r="F121">
        <f>RTD("tos.rtd", , "VOLUME", "BATL")</f>
        <v>4324598</v>
      </c>
      <c r="G121">
        <f>RTD("tos.rtd", , "BID", "BATL")</f>
        <v>1.3</v>
      </c>
      <c r="H121">
        <f>RTD("tos.rtd", , "ASK", "BATL")</f>
        <v>1.31</v>
      </c>
      <c r="I121" t="str">
        <f>RTD("tos.rtd", , "MARKET_CAP", "BATL")</f>
        <v>29 M</v>
      </c>
      <c r="J121" t="str">
        <f>RTD("tos.rtd", , "CUSTOM3", "BATL")</f>
        <v>loading</v>
      </c>
      <c r="K121">
        <f>RTD("tos.rtd", , "CUSTOM2", "BATL")</f>
        <v>86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11.53</v>
      </c>
      <c r="D122">
        <f>RTD("tos.rtd", , "MARK_CHANGE", "REPL")</f>
        <v>-0.1</v>
      </c>
      <c r="E122" t="str">
        <f>RTD("tos.rtd", , "MARK_PERCENT_CHANGE", "REPL")</f>
        <v>-0.86%</v>
      </c>
      <c r="F122">
        <f>RTD("tos.rtd", , "VOLUME", "REPL")</f>
        <v>427556</v>
      </c>
      <c r="G122">
        <f>RTD("tos.rtd", , "BID", "REPL")</f>
        <v>11.52</v>
      </c>
      <c r="H122">
        <f>RTD("tos.rtd", , "ASK", "REPL")</f>
        <v>11.55</v>
      </c>
      <c r="I122" t="str">
        <f>RTD("tos.rtd", , "MARKET_CAP", "REPL")</f>
        <v>952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1.63</v>
      </c>
      <c r="D123">
        <f>RTD("tos.rtd", , "MARK_CHANGE", "ZENA")</f>
        <v>7.0000000000000007E-2</v>
      </c>
      <c r="E123" t="str">
        <f>RTD("tos.rtd", , "MARK_PERCENT_CHANGE", "ZENA")</f>
        <v>+4.49%</v>
      </c>
      <c r="F123">
        <f>RTD("tos.rtd", , "VOLUME", "ZENA")</f>
        <v>572981</v>
      </c>
      <c r="G123">
        <f>RTD("tos.rtd", , "BID", "ZENA")</f>
        <v>1.62</v>
      </c>
      <c r="H123">
        <f>RTD("tos.rtd", , "ASK", "ZENA")</f>
        <v>1.63</v>
      </c>
      <c r="I123" t="str">
        <f>RTD("tos.rtd", , "MARKET_CAP", "ZENA")</f>
        <v>142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0.46105000000000002</v>
      </c>
      <c r="D124">
        <f>RTD("tos.rtd", , "MARK_CHANGE", "PRZO")</f>
        <v>-1.3950000000000001E-2</v>
      </c>
      <c r="E124" t="str">
        <f>RTD("tos.rtd", , "MARK_PERCENT_CHANGE", "PRZO")</f>
        <v>-2.94%</v>
      </c>
      <c r="F124">
        <f>RTD("tos.rtd", , "VOLUME", "PRZO")</f>
        <v>91953</v>
      </c>
      <c r="G124">
        <f>RTD("tos.rtd", , "BID", "PRZO")</f>
        <v>0.46</v>
      </c>
      <c r="H124">
        <f>RTD("tos.rtd", , "ASK", "PRZO")</f>
        <v>0.4637</v>
      </c>
      <c r="I124" t="str">
        <f>RTD("tos.rtd", , "MARKET_CAP", "PRZO")</f>
        <v>12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2.6</v>
      </c>
      <c r="D125">
        <f>RTD("tos.rtd", , "MARK_CHANGE", "SLDP")</f>
        <v>0.01</v>
      </c>
      <c r="E125" t="str">
        <f>RTD("tos.rtd", , "MARK_PERCENT_CHANGE", "SLDP")</f>
        <v>+0.39%</v>
      </c>
      <c r="F125">
        <f>RTD("tos.rtd", , "VOLUME", "SLDP")</f>
        <v>773946</v>
      </c>
      <c r="G125">
        <f>RTD("tos.rtd", , "BID", "SLDP")</f>
        <v>2.6</v>
      </c>
      <c r="H125">
        <f>RTD("tos.rtd", , "ASK", "SLDP")</f>
        <v>2.61</v>
      </c>
      <c r="I125" t="str">
        <f>RTD("tos.rtd", , "MARKET_CAP", "SLDP")</f>
        <v>585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0.94240000000000002</v>
      </c>
      <c r="D126">
        <f>RTD("tos.rtd", , "MARK_CHANGE", "SES")</f>
        <v>4.2799999999999998E-2</v>
      </c>
      <c r="E126" t="str">
        <f>RTD("tos.rtd", , "MARK_PERCENT_CHANGE", "SES")</f>
        <v>+4.76%</v>
      </c>
      <c r="F126">
        <f>RTD("tos.rtd", , "VOLUME", "SES")</f>
        <v>1633318</v>
      </c>
      <c r="G126">
        <f>RTD("tos.rtd", , "BID", "SES")</f>
        <v>0.94230000000000003</v>
      </c>
      <c r="H126">
        <f>RTD("tos.rtd", , "ASK", "SES")</f>
        <v>0.9456</v>
      </c>
      <c r="I126" t="str">
        <f>RTD("tos.rtd", , "MARKET_CAP", "SES")</f>
        <v>348 M</v>
      </c>
      <c r="J126" t="str">
        <f>RTD("tos.rtd", , "CUSTOM3", "SES")</f>
        <v>loading</v>
      </c>
      <c r="K126">
        <f>RTD("tos.rtd", , "CUSTOM2", "SES")</f>
        <v>75.564400000000006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6.98</v>
      </c>
      <c r="D127">
        <f>RTD("tos.rtd", , "MARK_CHANGE", "IMSR")</f>
        <v>0.25</v>
      </c>
      <c r="E127" t="str">
        <f>RTD("tos.rtd", , "MARK_PERCENT_CHANGE", "IMSR")</f>
        <v>+3.71%</v>
      </c>
      <c r="F127">
        <f>RTD("tos.rtd", , "VOLUME", "IMSR")</f>
        <v>268762</v>
      </c>
      <c r="G127">
        <f>RTD("tos.rtd", , "BID", "IMSR")</f>
        <v>6.96</v>
      </c>
      <c r="H127">
        <f>RTD("tos.rtd", , "ASK", "IMSR")</f>
        <v>7</v>
      </c>
      <c r="I127" t="str">
        <f>RTD("tos.rtd", , "MARKET_CAP", "IMSR")</f>
        <v>739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5.6950000000000003</v>
      </c>
      <c r="D128">
        <f>RTD("tos.rtd", , "MARK_CHANGE", "KEEL")</f>
        <v>-0.33500000000000002</v>
      </c>
      <c r="E128" t="str">
        <f>RTD("tos.rtd", , "MARK_PERCENT_CHANGE", "KEEL")</f>
        <v>-5.56%</v>
      </c>
      <c r="F128">
        <f>RTD("tos.rtd", , "VOLUME", "KEEL")</f>
        <v>7999992</v>
      </c>
      <c r="G128">
        <f>RTD("tos.rtd", , "BID", "KEEL")</f>
        <v>5.69</v>
      </c>
      <c r="H128">
        <f>RTD("tos.rtd", , "ASK", "KEEL")</f>
        <v>5.7</v>
      </c>
      <c r="I128" t="str">
        <f>RTD("tos.rtd", , "MARKET_CAP", "KEEL")</f>
        <v>3,439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0.64019999999999999</v>
      </c>
      <c r="D129">
        <f>RTD("tos.rtd", , "MARK_CHANGE", "PMEC")</f>
        <v>-2.93E-2</v>
      </c>
      <c r="E129" t="str">
        <f>RTD("tos.rtd", , "MARK_PERCENT_CHANGE", "PMEC")</f>
        <v>-4.38%</v>
      </c>
      <c r="F129">
        <f>RTD("tos.rtd", , "VOLUME", "PMEC")</f>
        <v>1883</v>
      </c>
      <c r="G129">
        <f>RTD("tos.rtd", , "BID", "PMEC")</f>
        <v>0.61209999999999998</v>
      </c>
      <c r="H129">
        <f>RTD("tos.rtd", , "ASK", "PMEC")</f>
        <v>0.64019999999999999</v>
      </c>
      <c r="I129" t="str">
        <f>RTD("tos.rtd", , "MARKET_CAP", "PMEC")</f>
        <v>25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1.9500999999999999</v>
      </c>
      <c r="D130">
        <f>RTD("tos.rtd", , "MARK_CHANGE", "AIXI")</f>
        <v>-3.49E-2</v>
      </c>
      <c r="E130" t="str">
        <f>RTD("tos.rtd", , "MARK_PERCENT_CHANGE", "AIXI")</f>
        <v>-1.76%</v>
      </c>
      <c r="F130">
        <f>RTD("tos.rtd", , "VOLUME", "AIXI")</f>
        <v>58284</v>
      </c>
      <c r="G130">
        <f>RTD("tos.rtd", , "BID", "AIXI")</f>
        <v>1.95</v>
      </c>
      <c r="H130">
        <f>RTD("tos.rtd", , "ASK", "AIXI")</f>
        <v>1.97</v>
      </c>
      <c r="I130" t="str">
        <f>RTD("tos.rtd", , "MARKET_CAP", "AIXI")</f>
        <v>1.8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5.1680000000000001</v>
      </c>
      <c r="D131">
        <f>RTD("tos.rtd", , "MARK_CHANGE", "ASTI")</f>
        <v>0.28789999999999999</v>
      </c>
      <c r="E131" t="str">
        <f>RTD("tos.rtd", , "MARK_PERCENT_CHANGE", "ASTI")</f>
        <v>+5.90%</v>
      </c>
      <c r="F131">
        <f>RTD("tos.rtd", , "VOLUME", "ASTI")</f>
        <v>198451</v>
      </c>
      <c r="G131">
        <f>RTD("tos.rtd", , "BID", "ASTI")</f>
        <v>5.09</v>
      </c>
      <c r="H131">
        <f>RTD("tos.rtd", , "ASK", "ASTI")</f>
        <v>5.17</v>
      </c>
      <c r="I131" t="str">
        <f>RTD("tos.rtd", , "MARKET_CAP", "ASTI")</f>
        <v>49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7.26</v>
      </c>
      <c r="D132">
        <f>RTD("tos.rtd", , "MARK_CHANGE", "QS")</f>
        <v>0.1</v>
      </c>
      <c r="E132" t="str">
        <f>RTD("tos.rtd", , "MARK_PERCENT_CHANGE", "QS")</f>
        <v>+1.40%</v>
      </c>
      <c r="F132">
        <f>RTD("tos.rtd", , "VOLUME", "QS")</f>
        <v>2590048</v>
      </c>
      <c r="G132">
        <f>RTD("tos.rtd", , "BID", "QS")</f>
        <v>7.25</v>
      </c>
      <c r="H132">
        <f>RTD("tos.rtd", , "ASK", "QS")</f>
        <v>7.26</v>
      </c>
      <c r="I132" t="str">
        <f>RTD("tos.rtd", , "MARKET_CAP", "QS")</f>
        <v>4,466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1.21</v>
      </c>
      <c r="D133">
        <f>RTD("tos.rtd", , "MARK_CHANGE", "RECT")</f>
        <v>0.01</v>
      </c>
      <c r="E133" t="str">
        <f>RTD("tos.rtd", , "MARK_PERCENT_CHANGE", "RECT")</f>
        <v>+0.83%</v>
      </c>
      <c r="F133">
        <f>RTD("tos.rtd", , "VOLUME", "RECT")</f>
        <v>347</v>
      </c>
      <c r="G133">
        <f>RTD("tos.rtd", , "BID", "RECT")</f>
        <v>1.21</v>
      </c>
      <c r="H133">
        <f>RTD("tos.rtd", , "ASK", "RECT")</f>
        <v>1.27</v>
      </c>
      <c r="I133" t="str">
        <f>RTD("tos.rtd", , "MARKET_CAP", "RECT")</f>
        <v>18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7.83</v>
      </c>
      <c r="D134">
        <f>RTD("tos.rtd", , "MARK_CHANGE", "RYAM")</f>
        <v>-0.17</v>
      </c>
      <c r="E134" t="str">
        <f>RTD("tos.rtd", , "MARK_PERCENT_CHANGE", "RYAM")</f>
        <v>-2.13%</v>
      </c>
      <c r="F134">
        <f>RTD("tos.rtd", , "VOLUME", "RYAM")</f>
        <v>64974</v>
      </c>
      <c r="G134">
        <f>RTD("tos.rtd", , "BID", "RYAM")</f>
        <v>7.81</v>
      </c>
      <c r="H134">
        <f>RTD("tos.rtd", , "ASK", "RYAM")</f>
        <v>7.85</v>
      </c>
      <c r="I134" t="str">
        <f>RTD("tos.rtd", , "MARKET_CAP", "RYAM")</f>
        <v>528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4.9550000000000001</v>
      </c>
      <c r="D135">
        <f>RTD("tos.rtd", , "MARK_CHANGE", "ACRS")</f>
        <v>-4.4999999999999998E-2</v>
      </c>
      <c r="E135" t="str">
        <f>RTD("tos.rtd", , "MARK_PERCENT_CHANGE", "ACRS")</f>
        <v>-0.90%</v>
      </c>
      <c r="F135">
        <f>RTD("tos.rtd", , "VOLUME", "ACRS")</f>
        <v>169226</v>
      </c>
      <c r="G135">
        <f>RTD("tos.rtd", , "BID", "ACRS")</f>
        <v>4.95</v>
      </c>
      <c r="H135">
        <f>RTD("tos.rtd", , "ASK", "ACRS")</f>
        <v>4.96</v>
      </c>
      <c r="I135" t="str">
        <f>RTD("tos.rtd", , "MARKET_CAP", "ACRS")</f>
        <v>692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7.82</v>
      </c>
      <c r="D136">
        <f>RTD("tos.rtd", , "MARK_CHANGE", "TWI")</f>
        <v>-0.2</v>
      </c>
      <c r="E136" t="str">
        <f>RTD("tos.rtd", , "MARK_PERCENT_CHANGE", "TWI")</f>
        <v>-2.49%</v>
      </c>
      <c r="F136">
        <f>RTD("tos.rtd", , "VOLUME", "TWI")</f>
        <v>49400</v>
      </c>
      <c r="G136">
        <f>RTD("tos.rtd", , "BID", "TWI")</f>
        <v>7.82</v>
      </c>
      <c r="H136">
        <f>RTD("tos.rtd", , "ASK", "TWI")</f>
        <v>7.83</v>
      </c>
      <c r="I136" t="str">
        <f>RTD("tos.rtd", , "MARKET_CAP", "TWI")</f>
        <v>503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14.43</v>
      </c>
      <c r="D137">
        <f>RTD("tos.rtd", , "MARK_CHANGE", "CMPS")</f>
        <v>-0.39</v>
      </c>
      <c r="E137" t="str">
        <f>RTD("tos.rtd", , "MARK_PERCENT_CHANGE", "CMPS")</f>
        <v>-2.63%</v>
      </c>
      <c r="F137">
        <f>RTD("tos.rtd", , "VOLUME", "CMPS")</f>
        <v>591582</v>
      </c>
      <c r="G137">
        <f>RTD("tos.rtd", , "BID", "CMPS")</f>
        <v>14.39</v>
      </c>
      <c r="H137">
        <f>RTD("tos.rtd", , "ASK", "CMPS")</f>
        <v>14.47</v>
      </c>
      <c r="I137" t="str">
        <f>RTD("tos.rtd", , "MARKET_CAP", "CMPS")</f>
        <v>1,947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11.4</v>
      </c>
      <c r="D138">
        <f>RTD("tos.rtd", , "MARK_CHANGE", "ABSI")</f>
        <v>0.51</v>
      </c>
      <c r="E138" t="str">
        <f>RTD("tos.rtd", , "MARK_PERCENT_CHANGE", "ABSI")</f>
        <v>+4.68%</v>
      </c>
      <c r="F138">
        <f>RTD("tos.rtd", , "VOLUME", "ABSI")</f>
        <v>1356427</v>
      </c>
      <c r="G138">
        <f>RTD("tos.rtd", , "BID", "ABSI")</f>
        <v>11.4</v>
      </c>
      <c r="H138">
        <f>RTD("tos.rtd", , "ASK", "ABSI")</f>
        <v>11.41</v>
      </c>
      <c r="I138" t="str">
        <f>RTD("tos.rtd", , "MARKET_CAP", "ABSI")</f>
        <v>1,931 M</v>
      </c>
      <c r="J138" t="str">
        <f>RTD("tos.rtd", , "CUSTOM3", "ABSI")</f>
        <v>loading</v>
      </c>
      <c r="K138">
        <f>RTD("tos.rtd", , "CUSTOM2", "ABSI")</f>
        <v>62.43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3.81</v>
      </c>
      <c r="D139">
        <f>RTD("tos.rtd", , "MARK_CHANGE", "BTG")</f>
        <v>-0.13</v>
      </c>
      <c r="E139" t="str">
        <f>RTD("tos.rtd", , "MARK_PERCENT_CHANGE", "BTG")</f>
        <v>-3.30%</v>
      </c>
      <c r="F139">
        <f>RTD("tos.rtd", , "VOLUME", "BTG")</f>
        <v>5555795</v>
      </c>
      <c r="G139">
        <f>RTD("tos.rtd", , "BID", "BTG")</f>
        <v>3.8</v>
      </c>
      <c r="H139">
        <f>RTD("tos.rtd", , "ASK", "BTG")</f>
        <v>3.81</v>
      </c>
      <c r="I139" t="str">
        <f>RTD("tos.rtd", , "MARKET_CAP", "BTG")</f>
        <v>5,077 M</v>
      </c>
      <c r="J139" t="str">
        <f>RTD("tos.rtd", , "CUSTOM3", "BTG")</f>
        <v>loading</v>
      </c>
      <c r="K139" t="str">
        <f>RTD("tos.rtd", , "CUSTOM2", "BTG")</f>
        <v>loading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10.625</v>
      </c>
      <c r="D140">
        <f>RTD("tos.rtd", , "MARK_CHANGE", "GPK")</f>
        <v>-0.38500000000000001</v>
      </c>
      <c r="E140" t="str">
        <f>RTD("tos.rtd", , "MARK_PERCENT_CHANGE", "GPK")</f>
        <v>-3.50%</v>
      </c>
      <c r="F140">
        <f>RTD("tos.rtd", , "VOLUME", "GPK")</f>
        <v>459432</v>
      </c>
      <c r="G140">
        <f>RTD("tos.rtd", , "BID", "GPK")</f>
        <v>10.62</v>
      </c>
      <c r="H140">
        <f>RTD("tos.rtd", , "ASK", "GPK")</f>
        <v>10.63</v>
      </c>
      <c r="I140" t="str">
        <f>RTD("tos.rtd", , "MARKET_CAP", "GPK")</f>
        <v>3,144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1.2</v>
      </c>
      <c r="D141">
        <f>RTD("tos.rtd", , "MARK_CHANGE", "BDMD")</f>
        <v>0.14000000000000001</v>
      </c>
      <c r="E141" t="str">
        <f>RTD("tos.rtd", , "MARK_PERCENT_CHANGE", "BDMD")</f>
        <v>+13.21%</v>
      </c>
      <c r="F141">
        <f>RTD("tos.rtd", , "VOLUME", "BDMD")</f>
        <v>113096</v>
      </c>
      <c r="G141">
        <f>RTD("tos.rtd", , "BID", "BDMD")</f>
        <v>1.1599999999999999</v>
      </c>
      <c r="H141">
        <f>RTD("tos.rtd", , "ASK", "BDMD")</f>
        <v>1.26</v>
      </c>
      <c r="I141" t="str">
        <f>RTD("tos.rtd", , "MARKET_CAP", "BDMD")</f>
        <v>38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5.85</v>
      </c>
      <c r="D142">
        <f>RTD("tos.rtd", , "MARK_CHANGE", "ACDC")</f>
        <v>0.02</v>
      </c>
      <c r="E142" t="str">
        <f>RTD("tos.rtd", , "MARK_PERCENT_CHANGE", "ACDC")</f>
        <v>+0.34%</v>
      </c>
      <c r="F142">
        <f>RTD("tos.rtd", , "VOLUME", "ACDC")</f>
        <v>152854</v>
      </c>
      <c r="G142">
        <f>RTD("tos.rtd", , "BID", "ACDC")</f>
        <v>5.84</v>
      </c>
      <c r="H142">
        <f>RTD("tos.rtd", , "ASK", "ACDC")</f>
        <v>5.85</v>
      </c>
      <c r="I142" t="str">
        <f>RTD("tos.rtd", , "MARKET_CAP", "ACDC")</f>
        <v>1,058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8.0120000000000005</v>
      </c>
      <c r="D143">
        <f>RTD("tos.rtd", , "MARK_CHANGE", "MLEC")</f>
        <v>0.4118</v>
      </c>
      <c r="E143" t="str">
        <f>RTD("tos.rtd", , "MARK_PERCENT_CHANGE", "MLEC")</f>
        <v>+5.42%</v>
      </c>
      <c r="F143">
        <f>RTD("tos.rtd", , "VOLUME", "MLEC")</f>
        <v>2581</v>
      </c>
      <c r="G143">
        <f>RTD("tos.rtd", , "BID", "MLEC")</f>
        <v>7.9</v>
      </c>
      <c r="H143">
        <f>RTD("tos.rtd", , "ASK", "MLEC")</f>
        <v>8.41</v>
      </c>
      <c r="I143" t="str">
        <f>RTD("tos.rtd", , "MARKET_CAP", "MLEC")</f>
        <v>5.8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1.865</v>
      </c>
      <c r="D144">
        <f>RTD("tos.rtd", , "MARK_CHANGE", "IKT")</f>
        <v>-4.4999999999999998E-2</v>
      </c>
      <c r="E144" t="str">
        <f>RTD("tos.rtd", , "MARK_PERCENT_CHANGE", "IKT")</f>
        <v>-2.36%</v>
      </c>
      <c r="F144">
        <f>RTD("tos.rtd", , "VOLUME", "IKT")</f>
        <v>60581</v>
      </c>
      <c r="G144">
        <f>RTD("tos.rtd", , "BID", "IKT")</f>
        <v>1.86</v>
      </c>
      <c r="H144">
        <f>RTD("tos.rtd", , "ASK", "IKT")</f>
        <v>1.87</v>
      </c>
      <c r="I144" t="str">
        <f>RTD("tos.rtd", , "MARKET_CAP", "IKT")</f>
        <v>246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7.49</v>
      </c>
      <c r="D145">
        <f>RTD("tos.rtd", , "MARK_CHANGE", "MNTS")</f>
        <v>0.44</v>
      </c>
      <c r="E145" t="str">
        <f>RTD("tos.rtd", , "MARK_PERCENT_CHANGE", "MNTS")</f>
        <v>+6.24%</v>
      </c>
      <c r="F145">
        <f>RTD("tos.rtd", , "VOLUME", "MNTS")</f>
        <v>1261273</v>
      </c>
      <c r="G145">
        <f>RTD("tos.rtd", , "BID", "MNTS")</f>
        <v>7.44</v>
      </c>
      <c r="H145">
        <f>RTD("tos.rtd", , "ASK", "MNTS")</f>
        <v>7.54</v>
      </c>
      <c r="I145" t="str">
        <f>RTD("tos.rtd", , "MARKET_CAP", "MNTS")</f>
        <v>141 M</v>
      </c>
      <c r="J145" t="str">
        <f>RTD("tos.rtd", , "CUSTOM3", "MNTS")</f>
        <v>loading</v>
      </c>
      <c r="K145">
        <f>RTD("tos.rtd", , "CUSTOM2", "MNTS")</f>
        <v>34.97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4.88</v>
      </c>
      <c r="D146">
        <f>RTD("tos.rtd", , "MARK_CHANGE", "CDLX")</f>
        <v>0.17</v>
      </c>
      <c r="E146" t="str">
        <f>RTD("tos.rtd", , "MARK_PERCENT_CHANGE", "CDLX")</f>
        <v>+3.61%</v>
      </c>
      <c r="F146">
        <f>RTD("tos.rtd", , "VOLUME", "CDLX")</f>
        <v>8944</v>
      </c>
      <c r="G146">
        <f>RTD("tos.rtd", , "BID", "CDLX")</f>
        <v>4.8499999999999996</v>
      </c>
      <c r="H146">
        <f>RTD("tos.rtd", , "ASK", "CDLX")</f>
        <v>4.91</v>
      </c>
      <c r="I146" t="str">
        <f>RTD("tos.rtd", , "MARKET_CAP", "CDLX")</f>
        <v>28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1.57</v>
      </c>
      <c r="D147">
        <f>RTD("tos.rtd", , "MARK_CHANGE", "OCGN")</f>
        <v>7.0000000000000007E-2</v>
      </c>
      <c r="E147" t="str">
        <f>RTD("tos.rtd", , "MARK_PERCENT_CHANGE", "OCGN")</f>
        <v>+4.67%</v>
      </c>
      <c r="F147">
        <f>RTD("tos.rtd", , "VOLUME", "OCGN")</f>
        <v>1683698</v>
      </c>
      <c r="G147">
        <f>RTD("tos.rtd", , "BID", "OCGN")</f>
        <v>1.56</v>
      </c>
      <c r="H147">
        <f>RTD("tos.rtd", , "ASK", "OCGN")</f>
        <v>1.57</v>
      </c>
      <c r="I147" t="str">
        <f>RTD("tos.rtd", , "MARKET_CAP", "OCGN")</f>
        <v>531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1.4063000000000001</v>
      </c>
      <c r="D148">
        <f>RTD("tos.rtd", , "MARK_CHANGE", "SLNH")</f>
        <v>-2.3699999999999999E-2</v>
      </c>
      <c r="E148" t="str">
        <f>RTD("tos.rtd", , "MARK_PERCENT_CHANGE", "SLNH")</f>
        <v>-1.66%</v>
      </c>
      <c r="F148">
        <f>RTD("tos.rtd", , "VOLUME", "SLNH")</f>
        <v>2103614</v>
      </c>
      <c r="G148">
        <f>RTD("tos.rtd", , "BID", "SLNH")</f>
        <v>1.4</v>
      </c>
      <c r="H148">
        <f>RTD("tos.rtd", , "ASK", "SLNH")</f>
        <v>1.41</v>
      </c>
      <c r="I148" t="str">
        <f>RTD("tos.rtd", , "MARKET_CAP", "SLNH")</f>
        <v>222 M</v>
      </c>
      <c r="J148" t="str">
        <f>RTD("tos.rtd", , "CUSTOM3", "SLNH")</f>
        <v>loading</v>
      </c>
      <c r="K148">
        <f>RTD("tos.rtd", , "CUSTOM2", "SLNH")</f>
        <v>36.46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2.395</v>
      </c>
      <c r="D149">
        <f>RTD("tos.rtd", , "MARK_CHANGE", "GCTS")</f>
        <v>4.4999999999999998E-2</v>
      </c>
      <c r="E149" t="str">
        <f>RTD("tos.rtd", , "MARK_PERCENT_CHANGE", "GCTS")</f>
        <v>+1.91%</v>
      </c>
      <c r="F149">
        <f>RTD("tos.rtd", , "VOLUME", "GCTS")</f>
        <v>491255</v>
      </c>
      <c r="G149">
        <f>RTD("tos.rtd", , "BID", "GCTS")</f>
        <v>2.39</v>
      </c>
      <c r="H149">
        <f>RTD("tos.rtd", , "ASK", "GCTS")</f>
        <v>2.4</v>
      </c>
      <c r="I149" t="str">
        <f>RTD("tos.rtd", , "MARKET_CAP", "GCTS")</f>
        <v>218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8.8000000000000007</v>
      </c>
      <c r="D150">
        <f>RTD("tos.rtd", , "MARK_CHANGE", "HLX")</f>
        <v>-7.0000000000000007E-2</v>
      </c>
      <c r="E150" t="str">
        <f>RTD("tos.rtd", , "MARK_PERCENT_CHANGE", "HLX")</f>
        <v>-0.79%</v>
      </c>
      <c r="F150">
        <f>RTD("tos.rtd", , "VOLUME", "HLX")</f>
        <v>91955</v>
      </c>
      <c r="G150">
        <f>RTD("tos.rtd", , "BID", "HLX")</f>
        <v>8.7899999999999991</v>
      </c>
      <c r="H150">
        <f>RTD("tos.rtd", , "ASK", "HLX")</f>
        <v>8.8000000000000007</v>
      </c>
      <c r="I150" t="str">
        <f>RTD("tos.rtd", , "MARKET_CAP", "HLX")</f>
        <v>1,297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5.8250000000000002</v>
      </c>
      <c r="D151">
        <f>RTD("tos.rtd", , "MARK_CHANGE", "JBLU")</f>
        <v>-0.17499999999999999</v>
      </c>
      <c r="E151" t="str">
        <f>RTD("tos.rtd", , "MARK_PERCENT_CHANGE", "JBLU")</f>
        <v>-2.92%</v>
      </c>
      <c r="F151">
        <f>RTD("tos.rtd", , "VOLUME", "JBLU")</f>
        <v>1805805</v>
      </c>
      <c r="G151">
        <f>RTD("tos.rtd", , "BID", "JBLU")</f>
        <v>5.82</v>
      </c>
      <c r="H151">
        <f>RTD("tos.rtd", , "ASK", "JBLU")</f>
        <v>5.83</v>
      </c>
      <c r="I151" t="str">
        <f>RTD("tos.rtd", , "MARKET_CAP", "JBLU")</f>
        <v>2,167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7.71</v>
      </c>
      <c r="D153">
        <f>RTD("tos.rtd", , "MARK_CHANGE", "ULCC")</f>
        <v>-0.14000000000000001</v>
      </c>
      <c r="E153" t="str">
        <f>RTD("tos.rtd", , "MARK_PERCENT_CHANGE", "ULCC")</f>
        <v>-1.78%</v>
      </c>
      <c r="F153">
        <f>RTD("tos.rtd", , "VOLUME", "ULCC")</f>
        <v>496133</v>
      </c>
      <c r="G153">
        <f>RTD("tos.rtd", , "BID", "ULCC")</f>
        <v>7.7</v>
      </c>
      <c r="H153">
        <f>RTD("tos.rtd", , "ASK", "ULCC")</f>
        <v>7.71</v>
      </c>
      <c r="I153" t="str">
        <f>RTD("tos.rtd", , "MARKET_CAP", "ULCC")</f>
        <v>1,772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0.96819999999999995</v>
      </c>
      <c r="D154">
        <f>RTD("tos.rtd", , "MARK_CHANGE", "QNCX")</f>
        <v>2.47E-2</v>
      </c>
      <c r="E154" t="str">
        <f>RTD("tos.rtd", , "MARK_PERCENT_CHANGE", "QNCX")</f>
        <v>+2.62%</v>
      </c>
      <c r="F154">
        <f>RTD("tos.rtd", , "VOLUME", "QNCX")</f>
        <v>69095</v>
      </c>
      <c r="G154">
        <f>RTD("tos.rtd", , "BID", "QNCX")</f>
        <v>0.95330000000000004</v>
      </c>
      <c r="H154">
        <f>RTD("tos.rtd", , "ASK", "QNCX")</f>
        <v>0.96819999999999995</v>
      </c>
      <c r="I154" t="str">
        <f>RTD("tos.rtd", , "MARKET_CAP", "QNCX")</f>
        <v>19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8.9700000000000006</v>
      </c>
      <c r="D155">
        <f>RTD("tos.rtd", , "MARK_CHANGE", "SHLS")</f>
        <v>-0.03</v>
      </c>
      <c r="E155" t="str">
        <f>RTD("tos.rtd", , "MARK_PERCENT_CHANGE", "SHLS")</f>
        <v>-0.33%</v>
      </c>
      <c r="F155">
        <f>RTD("tos.rtd", , "VOLUME", "SHLS")</f>
        <v>711038</v>
      </c>
      <c r="G155">
        <f>RTD("tos.rtd", , "BID", "SHLS")</f>
        <v>8.9600000000000009</v>
      </c>
      <c r="H155">
        <f>RTD("tos.rtd", , "ASK", "SHLS")</f>
        <v>8.98</v>
      </c>
      <c r="I155" t="str">
        <f>RTD("tos.rtd", , "MARKET_CAP", "SHLS")</f>
        <v>1,505 M</v>
      </c>
      <c r="J155" t="str">
        <f>RTD("tos.rtd", , "CUSTOM3", "SHLS")</f>
        <v>loading</v>
      </c>
      <c r="K155">
        <f>RTD("tos.rtd", , "CUSTOM2", "SHLS")</f>
        <v>20.89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2.4009999999999998</v>
      </c>
      <c r="D156">
        <f>RTD("tos.rtd", , "MARK_CHANGE", "GLND")</f>
        <v>-9.9000000000000005E-2</v>
      </c>
      <c r="E156" t="str">
        <f>RTD("tos.rtd", , "MARK_PERCENT_CHANGE", "GLND")</f>
        <v>-3.96%</v>
      </c>
      <c r="F156">
        <f>RTD("tos.rtd", , "VOLUME", "GLND")</f>
        <v>220197</v>
      </c>
      <c r="G156">
        <f>RTD("tos.rtd", , "BID", "GLND")</f>
        <v>2.4</v>
      </c>
      <c r="H156">
        <f>RTD("tos.rtd", , "ASK", "GLND")</f>
        <v>2.41</v>
      </c>
      <c r="I156" t="str">
        <f>RTD("tos.rtd", , "MARKET_CAP", "GLND")</f>
        <v>105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11.72</v>
      </c>
      <c r="D157">
        <f>RTD("tos.rtd", , "MARK_CHANGE", "CTOS")</f>
        <v>-0.22</v>
      </c>
      <c r="E157" t="str">
        <f>RTD("tos.rtd", , "MARK_PERCENT_CHANGE", "CTOS")</f>
        <v>-1.84%</v>
      </c>
      <c r="F157">
        <f>RTD("tos.rtd", , "VOLUME", "CTOS")</f>
        <v>46133</v>
      </c>
      <c r="G157">
        <f>RTD("tos.rtd", , "BID", "CTOS")</f>
        <v>11.7</v>
      </c>
      <c r="H157">
        <f>RTD("tos.rtd", , "ASK", "CTOS")</f>
        <v>11.74</v>
      </c>
      <c r="I157" t="str">
        <f>RTD("tos.rtd", , "MARKET_CAP", "CTOS")</f>
        <v>2,666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9.7149999999999999</v>
      </c>
      <c r="D158">
        <f>RTD("tos.rtd", , "MARK_CHANGE", "FRMI")</f>
        <v>0.22500000000000001</v>
      </c>
      <c r="E158" t="str">
        <f>RTD("tos.rtd", , "MARK_PERCENT_CHANGE", "FRMI")</f>
        <v>+2.37%</v>
      </c>
      <c r="F158">
        <f>RTD("tos.rtd", , "VOLUME", "FRMI")</f>
        <v>4895661</v>
      </c>
      <c r="G158">
        <f>RTD("tos.rtd", , "BID", "FRMI")</f>
        <v>9.7100000000000009</v>
      </c>
      <c r="H158">
        <f>RTD("tos.rtd", , "ASK", "FRMI")</f>
        <v>9.7200000000000006</v>
      </c>
      <c r="I158" t="str">
        <f>RTD("tos.rtd", , "MARKET_CAP", "FRMI")</f>
        <v>6,199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4.5350000000000001</v>
      </c>
      <c r="D159">
        <f>RTD("tos.rtd", , "MARK_CHANGE", "AMBP")</f>
        <v>-7.4999999999999997E-2</v>
      </c>
      <c r="E159" t="str">
        <f>RTD("tos.rtd", , "MARK_PERCENT_CHANGE", "AMBP")</f>
        <v>-1.63%</v>
      </c>
      <c r="F159">
        <f>RTD("tos.rtd", , "VOLUME", "AMBP")</f>
        <v>297172</v>
      </c>
      <c r="G159">
        <f>RTD("tos.rtd", , "BID", "AMBP")</f>
        <v>4.53</v>
      </c>
      <c r="H159">
        <f>RTD("tos.rtd", , "ASK", "AMBP")</f>
        <v>4.54</v>
      </c>
      <c r="I159" t="str">
        <f>RTD("tos.rtd", , "MARKET_CAP", "AMBP")</f>
        <v>2,711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0.50970000000000004</v>
      </c>
      <c r="D160">
        <f>RTD("tos.rtd", , "MARK_CHANGE", "GNPX")</f>
        <v>1.49E-2</v>
      </c>
      <c r="E160" t="str">
        <f>RTD("tos.rtd", , "MARK_PERCENT_CHANGE", "GNPX")</f>
        <v>+3.01%</v>
      </c>
      <c r="F160">
        <f>RTD("tos.rtd", , "VOLUME", "GNPX")</f>
        <v>141291</v>
      </c>
      <c r="G160">
        <f>RTD("tos.rtd", , "BID", "GNPX")</f>
        <v>0.50009999999999999</v>
      </c>
      <c r="H160">
        <f>RTD("tos.rtd", , "ASK", "GNPX")</f>
        <v>0.51390000000000002</v>
      </c>
      <c r="I160" t="str">
        <f>RTD("tos.rtd", , "MARKET_CAP", "GNPX")</f>
        <v>5.6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3.45</v>
      </c>
      <c r="D161">
        <f>RTD("tos.rtd", , "MARK_CHANGE", "INDI")</f>
        <v>-0.1</v>
      </c>
      <c r="E161" t="str">
        <f>RTD("tos.rtd", , "MARK_PERCENT_CHANGE", "INDI")</f>
        <v>-2.82%</v>
      </c>
      <c r="F161">
        <f>RTD("tos.rtd", , "VOLUME", "INDI")</f>
        <v>511771</v>
      </c>
      <c r="G161">
        <f>RTD("tos.rtd", , "BID", "INDI")</f>
        <v>3.45</v>
      </c>
      <c r="H161">
        <f>RTD("tos.rtd", , "ASK", "INDI")</f>
        <v>3.46</v>
      </c>
      <c r="I161" t="str">
        <f>RTD("tos.rtd", , "MARKET_CAP", "INDI")</f>
        <v>729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1.82</v>
      </c>
      <c r="D162">
        <f>RTD("tos.rtd", , "MARK_CHANGE", "RENX")</f>
        <v>0.01</v>
      </c>
      <c r="E162" t="str">
        <f>RTD("tos.rtd", , "MARK_PERCENT_CHANGE", "RENX")</f>
        <v>+0.55%</v>
      </c>
      <c r="F162">
        <f>RTD("tos.rtd", , "VOLUME", "RENX")</f>
        <v>16429</v>
      </c>
      <c r="G162">
        <f>RTD("tos.rtd", , "BID", "RENX")</f>
        <v>1.81</v>
      </c>
      <c r="H162">
        <f>RTD("tos.rtd", , "ASK", "RENX")</f>
        <v>1.86</v>
      </c>
      <c r="I162" t="str">
        <f>RTD("tos.rtd", , "MARKET_CAP", "RENX")</f>
        <v>4.8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5</v>
      </c>
      <c r="D163">
        <f>RTD("tos.rtd", , "MARK_CHANGE", "INV")</f>
        <v>0.12</v>
      </c>
      <c r="E163" t="str">
        <f>RTD("tos.rtd", , "MARK_PERCENT_CHANGE", "INV")</f>
        <v>+2.46%</v>
      </c>
      <c r="F163">
        <f>RTD("tos.rtd", , "VOLUME", "INV")</f>
        <v>253452</v>
      </c>
      <c r="G163">
        <f>RTD("tos.rtd", , "BID", "INV")</f>
        <v>5</v>
      </c>
      <c r="H163">
        <f>RTD("tos.rtd", , "ASK", "INV")</f>
        <v>5.03</v>
      </c>
      <c r="I163" t="str">
        <f>RTD("tos.rtd", , "MARKET_CAP", "INV")</f>
        <v>420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3.7</v>
      </c>
      <c r="D164">
        <f>RTD("tos.rtd", , "MARK_CHANGE", "FULC")</f>
        <v>-0.1</v>
      </c>
      <c r="E164" t="str">
        <f>RTD("tos.rtd", , "MARK_PERCENT_CHANGE", "FULC")</f>
        <v>-2.63%</v>
      </c>
      <c r="F164">
        <f>RTD("tos.rtd", , "VOLUME", "FULC")</f>
        <v>120278</v>
      </c>
      <c r="G164">
        <f>RTD("tos.rtd", , "BID", "FULC")</f>
        <v>3.69</v>
      </c>
      <c r="H164">
        <f>RTD("tos.rtd", , "ASK", "FULC")</f>
        <v>3.71</v>
      </c>
      <c r="I164" t="str">
        <f>RTD("tos.rtd", , "MARKET_CAP", "FULC")</f>
        <v>247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5.85</v>
      </c>
      <c r="D165">
        <f>RTD("tos.rtd", , "MARK_CHANGE", "RES")</f>
        <v>-0.04</v>
      </c>
      <c r="E165" t="str">
        <f>RTD("tos.rtd", , "MARK_PERCENT_CHANGE", "RES")</f>
        <v>-0.68%</v>
      </c>
      <c r="F165">
        <f>RTD("tos.rtd", , "VOLUME", "RES")</f>
        <v>80899</v>
      </c>
      <c r="G165">
        <f>RTD("tos.rtd", , "BID", "RES")</f>
        <v>5.85</v>
      </c>
      <c r="H165">
        <f>RTD("tos.rtd", , "ASK", "RES")</f>
        <v>5.86</v>
      </c>
      <c r="I165" t="str">
        <f>RTD("tos.rtd", , "MARKET_CAP", "RES")</f>
        <v>1,297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4.3899999999999997</v>
      </c>
      <c r="D166">
        <f>RTD("tos.rtd", , "MARK_CHANGE", "ZNTL")</f>
        <v>0.35</v>
      </c>
      <c r="E166" t="str">
        <f>RTD("tos.rtd", , "MARK_PERCENT_CHANGE", "ZNTL")</f>
        <v>+8.66%</v>
      </c>
      <c r="F166">
        <f>RTD("tos.rtd", , "VOLUME", "ZNTL")</f>
        <v>621825</v>
      </c>
      <c r="G166">
        <f>RTD("tos.rtd", , "BID", "ZNTL")</f>
        <v>4.3899999999999997</v>
      </c>
      <c r="H166">
        <f>RTD("tos.rtd", , "ASK", "ZNTL")</f>
        <v>4.4000000000000004</v>
      </c>
      <c r="I166" t="str">
        <f>RTD("tos.rtd", , "MARKET_CAP", "ZNTL")</f>
        <v>313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7.58</v>
      </c>
      <c r="D167">
        <f>RTD("tos.rtd", , "MARK_CHANGE", "PCT")</f>
        <v>-0.21</v>
      </c>
      <c r="E167" t="str">
        <f>RTD("tos.rtd", , "MARK_PERCENT_CHANGE", "PCT")</f>
        <v>-2.70%</v>
      </c>
      <c r="F167">
        <f>RTD("tos.rtd", , "VOLUME", "PCT")</f>
        <v>446539</v>
      </c>
      <c r="G167">
        <f>RTD("tos.rtd", , "BID", "PCT")</f>
        <v>7.56</v>
      </c>
      <c r="H167">
        <f>RTD("tos.rtd", , "ASK", "PCT")</f>
        <v>7.58</v>
      </c>
      <c r="I167" t="str">
        <f>RTD("tos.rtd", , "MARKET_CAP", "PCT")</f>
        <v>1,521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6.12</v>
      </c>
      <c r="D168">
        <f>RTD("tos.rtd", , "MARK_CHANGE", "TDIC")</f>
        <v>0.27</v>
      </c>
      <c r="E168" t="str">
        <f>RTD("tos.rtd", , "MARK_PERCENT_CHANGE", "TDIC")</f>
        <v>+4.62%</v>
      </c>
      <c r="F168">
        <f>RTD("tos.rtd", , "VOLUME", "TDIC")</f>
        <v>24928</v>
      </c>
      <c r="G168">
        <f>RTD("tos.rtd", , "BID", "TDIC")</f>
        <v>5.95</v>
      </c>
      <c r="H168">
        <f>RTD("tos.rtd", , "ASK", "TDIC")</f>
        <v>6.12</v>
      </c>
      <c r="I168" t="str">
        <f>RTD("tos.rtd", , "MARKET_CAP", "TDIC")</f>
        <v>9.2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4.0449999999999999</v>
      </c>
      <c r="D169">
        <f>RTD("tos.rtd", , "MARK_CHANGE", "KOPN")</f>
        <v>0.22500000000000001</v>
      </c>
      <c r="E169" t="str">
        <f>RTD("tos.rtd", , "MARK_PERCENT_CHANGE", "KOPN")</f>
        <v>+5.89%</v>
      </c>
      <c r="F169">
        <f>RTD("tos.rtd", , "VOLUME", "KOPN")</f>
        <v>1223989</v>
      </c>
      <c r="G169">
        <f>RTD("tos.rtd", , "BID", "KOPN")</f>
        <v>4.04</v>
      </c>
      <c r="H169">
        <f>RTD("tos.rtd", , "ASK", "KOPN")</f>
        <v>4.05</v>
      </c>
      <c r="I169" t="str">
        <f>RTD("tos.rtd", , "MARKET_CAP", "KOPN")</f>
        <v>750 M</v>
      </c>
      <c r="J169" t="str">
        <f>RTD("tos.rtd", , "CUSTOM3", "KOPN")</f>
        <v>loading</v>
      </c>
      <c r="K169">
        <f>RTD("tos.rtd", , "CUSTOM2", "KOPN")</f>
        <v>29.87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7.26</v>
      </c>
      <c r="D170">
        <f>RTD("tos.rtd", , "MARK_CHANGE", "QS")</f>
        <v>0.1</v>
      </c>
      <c r="E170" t="str">
        <f>RTD("tos.rtd", , "MARK_PERCENT_CHANGE", "QS")</f>
        <v>+1.40%</v>
      </c>
      <c r="F170">
        <f>RTD("tos.rtd", , "VOLUME", "QS")</f>
        <v>2590048</v>
      </c>
      <c r="G170">
        <f>RTD("tos.rtd", , "BID", "QS")</f>
        <v>7.25</v>
      </c>
      <c r="H170">
        <f>RTD("tos.rtd", , "ASK", "QS")</f>
        <v>7.26</v>
      </c>
      <c r="I170" t="str">
        <f>RTD("tos.rtd", , "MARKET_CAP", "QS")</f>
        <v>4,466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7.97</v>
      </c>
      <c r="D171">
        <f>RTD("tos.rtd", , "MARK_CHANGE", "MBLY")</f>
        <v>0.16</v>
      </c>
      <c r="E171" t="str">
        <f>RTD("tos.rtd", , "MARK_PERCENT_CHANGE", "MBLY")</f>
        <v>+2.05%</v>
      </c>
      <c r="F171">
        <f>RTD("tos.rtd", , "VOLUME", "MBLY")</f>
        <v>454332</v>
      </c>
      <c r="G171">
        <f>RTD("tos.rtd", , "BID", "MBLY")</f>
        <v>7.96</v>
      </c>
      <c r="H171">
        <f>RTD("tos.rtd", , "ASK", "MBLY")</f>
        <v>7.97</v>
      </c>
      <c r="I171" t="str">
        <f>RTD("tos.rtd", , "MARKET_CAP", "MBLY")</f>
        <v>6,712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1.17</v>
      </c>
      <c r="D172">
        <f>RTD("tos.rtd", , "MARK_CHANGE", "UCAR")</f>
        <v>-0.01</v>
      </c>
      <c r="E172" t="str">
        <f>RTD("tos.rtd", , "MARK_PERCENT_CHANGE", "UCAR")</f>
        <v>-0.85%</v>
      </c>
      <c r="F172">
        <f>RTD("tos.rtd", , "VOLUME", "UCAR")</f>
        <v>18026</v>
      </c>
      <c r="G172">
        <f>RTD("tos.rtd", , "BID", "UCAR")</f>
        <v>1.1499999999999999</v>
      </c>
      <c r="H172">
        <f>RTD("tos.rtd", , "ASK", "UCAR")</f>
        <v>1.2</v>
      </c>
      <c r="I172" t="str">
        <f>RTD("tos.rtd", , "MARKET_CAP", "UCAR")</f>
        <v>30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5.6950000000000003</v>
      </c>
      <c r="D173">
        <f>RTD("tos.rtd", , "MARK_CHANGE", "KEEL")</f>
        <v>-0.33500000000000002</v>
      </c>
      <c r="E173" t="str">
        <f>RTD("tos.rtd", , "MARK_PERCENT_CHANGE", "KEEL")</f>
        <v>-5.56%</v>
      </c>
      <c r="F173">
        <f>RTD("tos.rtd", , "VOLUME", "KEEL")</f>
        <v>7999992</v>
      </c>
      <c r="G173">
        <f>RTD("tos.rtd", , "BID", "KEEL")</f>
        <v>5.69</v>
      </c>
      <c r="H173">
        <f>RTD("tos.rtd", , "ASK", "KEEL")</f>
        <v>5.7</v>
      </c>
      <c r="I173" t="str">
        <f>RTD("tos.rtd", , "MARKET_CAP", "KEEL")</f>
        <v>3,439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5.1680000000000001</v>
      </c>
      <c r="D174">
        <f>RTD("tos.rtd", , "MARK_CHANGE", "ASTI")</f>
        <v>0.28789999999999999</v>
      </c>
      <c r="E174" t="str">
        <f>RTD("tos.rtd", , "MARK_PERCENT_CHANGE", "ASTI")</f>
        <v>+5.90%</v>
      </c>
      <c r="F174">
        <f>RTD("tos.rtd", , "VOLUME", "ASTI")</f>
        <v>198451</v>
      </c>
      <c r="G174">
        <f>RTD("tos.rtd", , "BID", "ASTI")</f>
        <v>5.09</v>
      </c>
      <c r="H174">
        <f>RTD("tos.rtd", , "ASK", "ASTI")</f>
        <v>5.17</v>
      </c>
      <c r="I174" t="str">
        <f>RTD("tos.rtd", , "MARKET_CAP", "ASTI")</f>
        <v>49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11.53</v>
      </c>
      <c r="D175">
        <f>RTD("tos.rtd", , "MARK_CHANGE", "REPL")</f>
        <v>-0.1</v>
      </c>
      <c r="E175" t="str">
        <f>RTD("tos.rtd", , "MARK_PERCENT_CHANGE", "REPL")</f>
        <v>-0.86%</v>
      </c>
      <c r="F175">
        <f>RTD("tos.rtd", , "VOLUME", "REPL")</f>
        <v>427556</v>
      </c>
      <c r="G175">
        <f>RTD("tos.rtd", , "BID", "REPL")</f>
        <v>11.52</v>
      </c>
      <c r="H175">
        <f>RTD("tos.rtd", , "ASK", "REPL")</f>
        <v>11.55</v>
      </c>
      <c r="I175" t="str">
        <f>RTD("tos.rtd", , "MARKET_CAP", "REPL")</f>
        <v>952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0.68020000000000003</v>
      </c>
      <c r="D176">
        <f>RTD("tos.rtd", , "MARK_CHANGE", "YCBD")</f>
        <v>-1.49E-2</v>
      </c>
      <c r="E176" t="str">
        <f>RTD("tos.rtd", , "MARK_PERCENT_CHANGE", "YCBD")</f>
        <v>-2.14%</v>
      </c>
      <c r="F176">
        <f>RTD("tos.rtd", , "VOLUME", "YCBD")</f>
        <v>66644</v>
      </c>
      <c r="G176">
        <f>RTD("tos.rtd", , "BID", "YCBD")</f>
        <v>0.68</v>
      </c>
      <c r="H176">
        <f>RTD("tos.rtd", , "ASK", "YCBD")</f>
        <v>0.68389999999999995</v>
      </c>
      <c r="I176" t="str">
        <f>RTD("tos.rtd", , "MARKET_CAP", "YCBD")</f>
        <v>7.1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1.4350000000000001</v>
      </c>
      <c r="D177">
        <f>RTD("tos.rtd", , "MARK_CHANGE", "ENVB")</f>
        <v>0.02</v>
      </c>
      <c r="E177" t="str">
        <f>RTD("tos.rtd", , "MARK_PERCENT_CHANGE", "ENVB")</f>
        <v>+1.41%</v>
      </c>
      <c r="F177">
        <f>RTD("tos.rtd", , "VOLUME", "ENVB")</f>
        <v>44099</v>
      </c>
      <c r="G177">
        <f>RTD("tos.rtd", , "BID", "ENVB")</f>
        <v>1.42</v>
      </c>
      <c r="H177">
        <f>RTD("tos.rtd", , "ASK", "ENVB")</f>
        <v>1.45</v>
      </c>
      <c r="I177" t="str">
        <f>RTD("tos.rtd", , "MARKET_CAP", "ENVB")</f>
        <v>5.8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2.5</v>
      </c>
      <c r="D178">
        <f>RTD("tos.rtd", , "MARK_CHANGE", "SST")</f>
        <v>-0.01</v>
      </c>
      <c r="E178" t="str">
        <f>RTD("tos.rtd", , "MARK_PERCENT_CHANGE", "SST")</f>
        <v>-0.40%</v>
      </c>
      <c r="F178">
        <f>RTD("tos.rtd", , "VOLUME", "SST")</f>
        <v>4874</v>
      </c>
      <c r="G178">
        <f>RTD("tos.rtd", , "BID", "SST")</f>
        <v>2.48</v>
      </c>
      <c r="H178">
        <f>RTD("tos.rtd", , "ASK", "SST")</f>
        <v>2.6</v>
      </c>
      <c r="I178" t="str">
        <f>RTD("tos.rtd", , "MARKET_CAP", "SST")</f>
        <v>21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1.9500999999999999</v>
      </c>
      <c r="D179">
        <f>RTD("tos.rtd", , "MARK_CHANGE", "AIXI")</f>
        <v>-3.49E-2</v>
      </c>
      <c r="E179" t="str">
        <f>RTD("tos.rtd", , "MARK_PERCENT_CHANGE", "AIXI")</f>
        <v>-1.76%</v>
      </c>
      <c r="F179">
        <f>RTD("tos.rtd", , "VOLUME", "AIXI")</f>
        <v>58284</v>
      </c>
      <c r="G179">
        <f>RTD("tos.rtd", , "BID", "AIXI")</f>
        <v>1.95</v>
      </c>
      <c r="H179">
        <f>RTD("tos.rtd", , "ASK", "AIXI")</f>
        <v>1.97</v>
      </c>
      <c r="I179" t="str">
        <f>RTD("tos.rtd", , "MARKET_CAP", "AIXI")</f>
        <v>1.8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6.8</v>
      </c>
      <c r="D180">
        <f>RTD("tos.rtd", , "MARK_CHANGE", "CPIX")</f>
        <v>0.05</v>
      </c>
      <c r="E180" t="str">
        <f>RTD("tos.rtd", , "MARK_PERCENT_CHANGE", "CPIX")</f>
        <v>+0.74%</v>
      </c>
      <c r="F180">
        <f>RTD("tos.rtd", , "VOLUME", "CPIX")</f>
        <v>12029</v>
      </c>
      <c r="G180">
        <f>RTD("tos.rtd", , "BID", "CPIX")</f>
        <v>6.64</v>
      </c>
      <c r="H180">
        <f>RTD("tos.rtd", , "ASK", "CPIX")</f>
        <v>6.86</v>
      </c>
      <c r="I180" t="str">
        <f>RTD("tos.rtd", , "MARKET_CAP", "CPIX")</f>
        <v>102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1.2499</v>
      </c>
      <c r="D181">
        <f>RTD("tos.rtd", , "MARK_CHANGE", "AUUD")</f>
        <v>-2.01E-2</v>
      </c>
      <c r="E181" t="str">
        <f>RTD("tos.rtd", , "MARK_PERCENT_CHANGE", "AUUD")</f>
        <v>-1.58%</v>
      </c>
      <c r="F181">
        <f>RTD("tos.rtd", , "VOLUME", "AUUD")</f>
        <v>52234</v>
      </c>
      <c r="G181">
        <f>RTD("tos.rtd", , "BID", "AUUD")</f>
        <v>1.24</v>
      </c>
      <c r="H181">
        <f>RTD("tos.rtd", , "ASK", "AUUD")</f>
        <v>1.25</v>
      </c>
      <c r="I181" t="str">
        <f>RTD("tos.rtd", , "MARKET_CAP", "AUUD")</f>
        <v>6.7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2.41</v>
      </c>
      <c r="D182">
        <f>RTD("tos.rtd", , "MARK_CHANGE", "IPST")</f>
        <v>-0.12</v>
      </c>
      <c r="E182" t="str">
        <f>RTD("tos.rtd", , "MARK_PERCENT_CHANGE", "IPST")</f>
        <v>-4.74%</v>
      </c>
      <c r="F182">
        <f>RTD("tos.rtd", , "VOLUME", "IPST")</f>
        <v>7678</v>
      </c>
      <c r="G182">
        <f>RTD("tos.rtd", , "BID", "IPST")</f>
        <v>2.4</v>
      </c>
      <c r="H182">
        <f>RTD("tos.rtd", , "ASK", "IPST")</f>
        <v>2.4500000000000002</v>
      </c>
      <c r="I182" t="str">
        <f>RTD("tos.rtd", , "MARKET_CAP", "IPST")</f>
        <v>1.7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2.36</v>
      </c>
      <c r="D183">
        <f>RTD("tos.rtd", , "MARK_CHANGE", "NPT")</f>
        <v>0.05</v>
      </c>
      <c r="E183" t="str">
        <f>RTD("tos.rtd", , "MARK_PERCENT_CHANGE", "NPT")</f>
        <v>+2.16%</v>
      </c>
      <c r="F183">
        <f>RTD("tos.rtd", , "VOLUME", "NPT")</f>
        <v>4262</v>
      </c>
      <c r="G183">
        <f>RTD("tos.rtd", , "BID", "NPT")</f>
        <v>2.2999999999999998</v>
      </c>
      <c r="H183">
        <f>RTD("tos.rtd", , "ASK", "NPT")</f>
        <v>2.36</v>
      </c>
      <c r="I183" t="str">
        <f>RTD("tos.rtd", , "MARKET_CAP", "NPT")</f>
        <v>52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7.17</v>
      </c>
      <c r="D184">
        <f>RTD("tos.rtd", , "MARK_CHANGE", "AGPU")</f>
        <v>0.01</v>
      </c>
      <c r="E184" t="str">
        <f>RTD("tos.rtd", , "MARK_PERCENT_CHANGE", "AGPU")</f>
        <v>+0.14%</v>
      </c>
      <c r="F184">
        <f>RTD("tos.rtd", , "VOLUME", "AGPU")</f>
        <v>66938</v>
      </c>
      <c r="G184">
        <f>RTD("tos.rtd", , "BID", "AGPU")</f>
        <v>7.13</v>
      </c>
      <c r="H184">
        <f>RTD("tos.rtd", , "ASK", "AGPU")</f>
        <v>7.21</v>
      </c>
      <c r="I184" t="str">
        <f>RTD("tos.rtd", , "MARKET_CAP", "AGPU")</f>
        <v>78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7.81</v>
      </c>
      <c r="D185">
        <f>RTD("tos.rtd", , "MARK_CHANGE", "NMAX")</f>
        <v>0.32</v>
      </c>
      <c r="E185" t="str">
        <f>RTD("tos.rtd", , "MARK_PERCENT_CHANGE", "NMAX")</f>
        <v>+4.27%</v>
      </c>
      <c r="F185">
        <f>RTD("tos.rtd", , "VOLUME", "NMAX")</f>
        <v>321857</v>
      </c>
      <c r="G185">
        <f>RTD("tos.rtd", , "BID", "NMAX")</f>
        <v>7.77</v>
      </c>
      <c r="H185">
        <f>RTD("tos.rtd", , "ASK", "NMAX")</f>
        <v>7.85</v>
      </c>
      <c r="I185" t="str">
        <f>RTD("tos.rtd", , "MARKET_CAP", "NMAX")</f>
        <v>1,009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3.9350000000000001</v>
      </c>
      <c r="D186">
        <f>RTD("tos.rtd", , "MARK_CHANGE", "LPL")</f>
        <v>9.5000000000000001E-2</v>
      </c>
      <c r="E186" t="str">
        <f>RTD("tos.rtd", , "MARK_PERCENT_CHANGE", "LPL")</f>
        <v>+2.47%</v>
      </c>
      <c r="F186">
        <f>RTD("tos.rtd", , "VOLUME", "LPL")</f>
        <v>146500</v>
      </c>
      <c r="G186">
        <f>RTD("tos.rtd", , "BID", "LPL")</f>
        <v>3.93</v>
      </c>
      <c r="H186">
        <f>RTD("tos.rtd", , "ASK", "LPL")</f>
        <v>3.94</v>
      </c>
      <c r="I186" t="str">
        <f>RTD("tos.rtd", , "MARKET_CAP", "LPL")</f>
        <v>3,935 M</v>
      </c>
      <c r="J186" t="str">
        <f>RTD("tos.rtd", , "CUSTOM3", "LPL")</f>
        <v>loading</v>
      </c>
      <c r="K186" t="str">
        <f>RTD("tos.rtd", , "CUSTOM2", "LPL")</f>
        <v>loading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1.0319</v>
      </c>
      <c r="D187">
        <f>RTD("tos.rtd", , "MARK_CHANGE", "LRHC")</f>
        <v>-3.8100000000000002E-2</v>
      </c>
      <c r="E187" t="str">
        <f>RTD("tos.rtd", , "MARK_PERCENT_CHANGE", "LRHC")</f>
        <v>-3.56%</v>
      </c>
      <c r="F187">
        <f>RTD("tos.rtd", , "VOLUME", "LRHC")</f>
        <v>53404</v>
      </c>
      <c r="G187">
        <f>RTD("tos.rtd", , "BID", "LRHC")</f>
        <v>1.03</v>
      </c>
      <c r="H187">
        <f>RTD("tos.rtd", , "ASK", "LRHC")</f>
        <v>1.07</v>
      </c>
      <c r="I187" t="str">
        <f>RTD("tos.rtd", , "MARKET_CAP", "LRHC")</f>
        <v>1.7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7.1</v>
      </c>
      <c r="D188">
        <f>RTD("tos.rtd", , "MARK_CHANGE", "KREF")</f>
        <v>-7.0000000000000007E-2</v>
      </c>
      <c r="E188" t="str">
        <f>RTD("tos.rtd", , "MARK_PERCENT_CHANGE", "KREF")</f>
        <v>-0.98%</v>
      </c>
      <c r="F188">
        <f>RTD("tos.rtd", , "VOLUME", "KREF")</f>
        <v>84336</v>
      </c>
      <c r="G188">
        <f>RTD("tos.rtd", , "BID", "KREF")</f>
        <v>7.1</v>
      </c>
      <c r="H188">
        <f>RTD("tos.rtd", , "ASK", "KREF")</f>
        <v>7.11</v>
      </c>
      <c r="I188" t="str">
        <f>RTD("tos.rtd", , "MARKET_CAP", "KREF")</f>
        <v>457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2.855</v>
      </c>
      <c r="D189">
        <f>RTD("tos.rtd", , "MARK_CHANGE", "ALT")</f>
        <v>3.5000000000000003E-2</v>
      </c>
      <c r="E189" t="str">
        <f>RTD("tos.rtd", , "MARK_PERCENT_CHANGE", "ALT")</f>
        <v>+1.24%</v>
      </c>
      <c r="F189">
        <f>RTD("tos.rtd", , "VOLUME", "ALT")</f>
        <v>471250</v>
      </c>
      <c r="G189">
        <f>RTD("tos.rtd", , "BID", "ALT")</f>
        <v>2.85</v>
      </c>
      <c r="H189">
        <f>RTD("tos.rtd", , "ASK", "ALT")</f>
        <v>2.86</v>
      </c>
      <c r="I189" t="str">
        <f>RTD("tos.rtd", , "MARKET_CAP", "ALT")</f>
        <v>555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1.4</v>
      </c>
      <c r="D190">
        <f>RTD("tos.rtd", , "MARK_CHANGE", "HUBC")</f>
        <v>-0.02</v>
      </c>
      <c r="E190" t="str">
        <f>RTD("tos.rtd", , "MARK_PERCENT_CHANGE", "HUBC")</f>
        <v>-1.41%</v>
      </c>
      <c r="F190">
        <f>RTD("tos.rtd", , "VOLUME", "HUBC")</f>
        <v>161263</v>
      </c>
      <c r="G190">
        <f>RTD("tos.rtd", , "BID", "HUBC")</f>
        <v>1.38</v>
      </c>
      <c r="H190">
        <f>RTD("tos.rtd", , "ASK", "HUBC")</f>
        <v>1.42</v>
      </c>
      <c r="I190" t="str">
        <f>RTD("tos.rtd", , "MARKET_CAP", "HUBC")</f>
        <v>4.7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1.56</v>
      </c>
      <c r="D193">
        <f>RTD("tos.rtd", , "MARK_CHANGE", "CLIK")</f>
        <v>-0.02</v>
      </c>
      <c r="E193" t="str">
        <f>RTD("tos.rtd", , "MARK_PERCENT_CHANGE", "CLIK")</f>
        <v>-1.27%</v>
      </c>
      <c r="F193">
        <f>RTD("tos.rtd", , "VOLUME", "CLIK")</f>
        <v>5257</v>
      </c>
      <c r="G193">
        <f>RTD("tos.rtd", , "BID", "CLIK")</f>
        <v>1.55</v>
      </c>
      <c r="H193">
        <f>RTD("tos.rtd", , "ASK", "CLIK")</f>
        <v>1.58</v>
      </c>
      <c r="I193" t="str">
        <f>RTD("tos.rtd", , "MARKET_CAP", "CLIK")</f>
        <v>5.1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1.18</v>
      </c>
      <c r="D194">
        <f>RTD("tos.rtd", , "MARK_CHANGE", "ABTS")</f>
        <v>0</v>
      </c>
      <c r="E194" t="str">
        <f>RTD("tos.rtd", , "MARK_PERCENT_CHANGE", "ABTS")</f>
        <v>0.00%</v>
      </c>
      <c r="F194">
        <f>RTD("tos.rtd", , "VOLUME", "ABTS")</f>
        <v>2849</v>
      </c>
      <c r="G194">
        <f>RTD("tos.rtd", , "BID", "ABTS")</f>
        <v>1.1599999999999999</v>
      </c>
      <c r="H194">
        <f>RTD("tos.rtd", , "ASK", "ABTS")</f>
        <v>1.21</v>
      </c>
      <c r="I194" t="str">
        <f>RTD("tos.rtd", , "MARKET_CAP", "ABTS")</f>
        <v>3.5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5.4050000000000002</v>
      </c>
      <c r="D195">
        <f>RTD("tos.rtd", , "MARK_CHANGE", "FJET")</f>
        <v>5.0000000000000001E-3</v>
      </c>
      <c r="E195" t="str">
        <f>RTD("tos.rtd", , "MARK_PERCENT_CHANGE", "FJET")</f>
        <v>+0.09%</v>
      </c>
      <c r="F195">
        <f>RTD("tos.rtd", , "VOLUME", "FJET")</f>
        <v>242871</v>
      </c>
      <c r="G195">
        <f>RTD("tos.rtd", , "BID", "FJET")</f>
        <v>5.39</v>
      </c>
      <c r="H195">
        <f>RTD("tos.rtd", , "ASK", "FJET")</f>
        <v>5.42</v>
      </c>
      <c r="I195" t="str">
        <f>RTD("tos.rtd", , "MARKET_CAP", "FJET")</f>
        <v>268 M</v>
      </c>
      <c r="J195" t="str">
        <f>RTD("tos.rtd", , "CUSTOM3", "FJET")</f>
        <v>loading</v>
      </c>
      <c r="K195" t="str">
        <f>RTD("tos.rtd", , "CUSTOM2", "FJET")</f>
        <v>loading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7.29</v>
      </c>
      <c r="D196">
        <f>RTD("tos.rtd", , "MARK_CHANGE", "ASAN")</f>
        <v>0.32</v>
      </c>
      <c r="E196" t="str">
        <f>RTD("tos.rtd", , "MARK_PERCENT_CHANGE", "ASAN")</f>
        <v>+4.59%</v>
      </c>
      <c r="F196">
        <f>RTD("tos.rtd", , "VOLUME", "ASAN")</f>
        <v>1329031</v>
      </c>
      <c r="G196">
        <f>RTD("tos.rtd", , "BID", "ASAN")</f>
        <v>7.28</v>
      </c>
      <c r="H196">
        <f>RTD("tos.rtd", , "ASK", "ASAN")</f>
        <v>7.29</v>
      </c>
      <c r="I196" t="str">
        <f>RTD("tos.rtd", , "MARKET_CAP", "ASAN")</f>
        <v>1,683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1.0740000000000001</v>
      </c>
      <c r="D197">
        <f>RTD("tos.rtd", , "MARK_CHANGE", "PSRHF")</f>
        <v>1.4E-2</v>
      </c>
      <c r="E197" t="str">
        <f>RTD("tos.rtd", , "MARK_PERCENT_CHANGE", "PSRHF")</f>
        <v>+1.32%</v>
      </c>
      <c r="F197">
        <f>RTD("tos.rtd", , "VOLUME", "PSRHF")</f>
        <v>70854</v>
      </c>
      <c r="G197">
        <f>RTD("tos.rtd", , "BID", "PSRHF")</f>
        <v>1.07</v>
      </c>
      <c r="H197">
        <f>RTD("tos.rtd", , "ASK", "PSRHF")</f>
        <v>1.0900000000000001</v>
      </c>
      <c r="I197" t="str">
        <f>RTD("tos.rtd", , "MARKET_CAP", "PSRHF")</f>
        <v>203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2.02</v>
      </c>
      <c r="D198">
        <f>RTD("tos.rtd", , "MARK_CHANGE", "IPW")</f>
        <v>-0.08</v>
      </c>
      <c r="E198" t="str">
        <f>RTD("tos.rtd", , "MARK_PERCENT_CHANGE", "IPW")</f>
        <v>-3.81%</v>
      </c>
      <c r="F198">
        <f>RTD("tos.rtd", , "VOLUME", "IPW")</f>
        <v>91796</v>
      </c>
      <c r="G198">
        <f>RTD("tos.rtd", , "BID", "IPW")</f>
        <v>2</v>
      </c>
      <c r="H198">
        <f>RTD("tos.rtd", , "ASK", "IPW")</f>
        <v>2.06</v>
      </c>
      <c r="I198" t="str">
        <f>RTD("tos.rtd", , "MARKET_CAP", "IPW")</f>
        <v>1.3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2.52</v>
      </c>
      <c r="D199">
        <f>RTD("tos.rtd", , "MARK_CHANGE", "JEM")</f>
        <v>0.66</v>
      </c>
      <c r="E199" t="str">
        <f>RTD("tos.rtd", , "MARK_PERCENT_CHANGE", "JEM")</f>
        <v>+35.48%</v>
      </c>
      <c r="F199">
        <f>RTD("tos.rtd", , "VOLUME", "JEM")</f>
        <v>229029</v>
      </c>
      <c r="G199">
        <f>RTD("tos.rtd", , "BID", "JEM")</f>
        <v>2.4700000000000002</v>
      </c>
      <c r="H199">
        <f>RTD("tos.rtd", , "ASK", "JEM")</f>
        <v>2.52</v>
      </c>
      <c r="I199" t="str">
        <f>RTD("tos.rtd", , "MARKET_CAP", "JEM")</f>
        <v>4.5 M</v>
      </c>
      <c r="J199" t="str">
        <f>RTD("tos.rtd", , "CUSTOM3", "JEM")</f>
        <v>loading</v>
      </c>
      <c r="K199" t="str">
        <f>RTD("tos.rtd", , "CUSTOM2", "JEM")</f>
        <v>loading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17.39</v>
      </c>
      <c r="D200">
        <f>RTD("tos.rtd", , "MARK_CHANGE", "FTRE")</f>
        <v>-0.26</v>
      </c>
      <c r="E200" t="str">
        <f>RTD("tos.rtd", , "MARK_PERCENT_CHANGE", "FTRE")</f>
        <v>-1.47%</v>
      </c>
      <c r="F200">
        <f>RTD("tos.rtd", , "VOLUME", "FTRE")</f>
        <v>105519</v>
      </c>
      <c r="G200">
        <f>RTD("tos.rtd", , "BID", "FTRE")</f>
        <v>17.34</v>
      </c>
      <c r="H200">
        <f>RTD("tos.rtd", , "ASK", "FTRE")</f>
        <v>17.399999999999999</v>
      </c>
      <c r="I200" t="str">
        <f>RTD("tos.rtd", , "MARKET_CAP", "FTRE")</f>
        <v>1,645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0.93130000000000002</v>
      </c>
      <c r="D201">
        <f>RTD("tos.rtd", , "MARK_CHANGE", "ELPW")</f>
        <v>0.03</v>
      </c>
      <c r="E201" t="str">
        <f>RTD("tos.rtd", , "MARK_PERCENT_CHANGE", "ELPW")</f>
        <v>+3.33%</v>
      </c>
      <c r="F201">
        <f>RTD("tos.rtd", , "VOLUME", "ELPW")</f>
        <v>74790</v>
      </c>
      <c r="G201">
        <f>RTD("tos.rtd", , "BID", "ELPW")</f>
        <v>0.91</v>
      </c>
      <c r="H201">
        <f>RTD("tos.rtd", , "ASK", "ELPW")</f>
        <v>0.95389999999999997</v>
      </c>
      <c r="I201" t="str">
        <f>RTD("tos.rtd", , "MARKET_CAP", "ELPW")</f>
        <v>2.9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0.47070000000000001</v>
      </c>
      <c r="D202">
        <f>RTD("tos.rtd", , "MARK_CHANGE", "RMSG")</f>
        <v>5.1999999999999998E-3</v>
      </c>
      <c r="E202" t="str">
        <f>RTD("tos.rtd", , "MARK_PERCENT_CHANGE", "RMSG")</f>
        <v>+1.12%</v>
      </c>
      <c r="F202">
        <f>RTD("tos.rtd", , "VOLUME", "RMSG")</f>
        <v>60063</v>
      </c>
      <c r="G202">
        <f>RTD("tos.rtd", , "BID", "RMSG")</f>
        <v>0.46500000000000002</v>
      </c>
      <c r="H202">
        <f>RTD("tos.rtd", , "ASK", "RMSG")</f>
        <v>0.4763</v>
      </c>
      <c r="I202" t="str">
        <f>RTD("tos.rtd", , "MARKET_CAP", "RMSG")</f>
        <v>6.7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10.08</v>
      </c>
      <c r="D203">
        <f>RTD("tos.rtd", , "MARK_CHANGE", "FRSH")</f>
        <v>0.23</v>
      </c>
      <c r="E203" t="str">
        <f>RTD("tos.rtd", , "MARK_PERCENT_CHANGE", "FRSH")</f>
        <v>+2.34%</v>
      </c>
      <c r="F203">
        <f>RTD("tos.rtd", , "VOLUME", "FRSH")</f>
        <v>1029804</v>
      </c>
      <c r="G203">
        <f>RTD("tos.rtd", , "BID", "FRSH")</f>
        <v>10.08</v>
      </c>
      <c r="H203">
        <f>RTD("tos.rtd", , "ASK", "FRSH")</f>
        <v>10.09</v>
      </c>
      <c r="I203" t="str">
        <f>RTD("tos.rtd", , "MARKET_CAP", "FRSH")</f>
        <v>2,786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0.81</v>
      </c>
      <c r="D204">
        <f>RTD("tos.rtd", , "MARK_CHANGE", "WBUY")</f>
        <v>-0.02</v>
      </c>
      <c r="E204" t="str">
        <f>RTD("tos.rtd", , "MARK_PERCENT_CHANGE", "WBUY")</f>
        <v>-2.41%</v>
      </c>
      <c r="F204">
        <f>RTD("tos.rtd", , "VOLUME", "WBUY")</f>
        <v>3563</v>
      </c>
      <c r="G204">
        <f>RTD("tos.rtd", , "BID", "WBUY")</f>
        <v>0.81</v>
      </c>
      <c r="H204">
        <f>RTD("tos.rtd", , "ASK", "WBUY")</f>
        <v>0.86</v>
      </c>
      <c r="I204" t="str">
        <f>RTD("tos.rtd", , "MARKET_CAP", "WBUY")</f>
        <v>4.4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5.3</v>
      </c>
      <c r="D206">
        <f>RTD("tos.rtd", , "MARK_CHANGE", "CXM")</f>
        <v>0.14000000000000001</v>
      </c>
      <c r="E206" t="str">
        <f>RTD("tos.rtd", , "MARK_PERCENT_CHANGE", "CXM")</f>
        <v>+2.71%</v>
      </c>
      <c r="F206">
        <f>RTD("tos.rtd", , "VOLUME", "CXM")</f>
        <v>286291</v>
      </c>
      <c r="G206">
        <f>RTD("tos.rtd", , "BID", "CXM")</f>
        <v>5.3</v>
      </c>
      <c r="H206">
        <f>RTD("tos.rtd", , "ASK", "CXM")</f>
        <v>5.31</v>
      </c>
      <c r="I206" t="str">
        <f>RTD("tos.rtd", , "MARKET_CAP", "CXM")</f>
        <v>1,241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8.42</v>
      </c>
      <c r="D207">
        <f>RTD("tos.rtd", , "MARK_CHANGE", "KYTX")</f>
        <v>-0.02</v>
      </c>
      <c r="E207" t="str">
        <f>RTD("tos.rtd", , "MARK_PERCENT_CHANGE", "KYTX")</f>
        <v>-0.24%</v>
      </c>
      <c r="F207">
        <f>RTD("tos.rtd", , "VOLUME", "KYTX")</f>
        <v>116054</v>
      </c>
      <c r="G207">
        <f>RTD("tos.rtd", , "BID", "KYTX")</f>
        <v>8.4</v>
      </c>
      <c r="H207">
        <f>RTD("tos.rtd", , "ASK", "KYTX")</f>
        <v>8.44</v>
      </c>
      <c r="I207" t="str">
        <f>RTD("tos.rtd", , "MARKET_CAP", "KYTX")</f>
        <v>512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1.5149999999999999</v>
      </c>
      <c r="D208">
        <f>RTD("tos.rtd", , "MARK_CHANGE", "TRON")</f>
        <v>-5.5E-2</v>
      </c>
      <c r="E208" t="str">
        <f>RTD("tos.rtd", , "MARK_PERCENT_CHANGE", "TRON")</f>
        <v>-3.50%</v>
      </c>
      <c r="F208">
        <f>RTD("tos.rtd", , "VOLUME", "TRON")</f>
        <v>158303</v>
      </c>
      <c r="G208">
        <f>RTD("tos.rtd", , "BID", "TRON")</f>
        <v>1.51</v>
      </c>
      <c r="H208">
        <f>RTD("tos.rtd", , "ASK", "TRON")</f>
        <v>1.52</v>
      </c>
      <c r="I208" t="str">
        <f>RTD("tos.rtd", , "MARKET_CAP", "TRON")</f>
        <v>719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2.9049999999999998</v>
      </c>
      <c r="D209">
        <f>RTD("tos.rtd", , "MARK_CHANGE", "GTM")</f>
        <v>1.4999999999999999E-2</v>
      </c>
      <c r="E209" t="str">
        <f>RTD("tos.rtd", , "MARK_PERCENT_CHANGE", "GTM")</f>
        <v>+0.52%</v>
      </c>
      <c r="F209">
        <f>RTD("tos.rtd", , "VOLUME", "GTM")</f>
        <v>959404</v>
      </c>
      <c r="G209">
        <f>RTD("tos.rtd", , "BID", "GTM")</f>
        <v>2.9</v>
      </c>
      <c r="H209">
        <f>RTD("tos.rtd", , "ASK", "GTM")</f>
        <v>2.91</v>
      </c>
      <c r="I209" t="str">
        <f>RTD("tos.rtd", , "MARKET_CAP", "GTM")</f>
        <v>856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Class A</v>
      </c>
      <c r="C210">
        <f>RTD("tos.rtd", , "MARK", "PATH")</f>
        <v>10.89</v>
      </c>
      <c r="D210">
        <f>RTD("tos.rtd", , "MARK_CHANGE", "PATH")</f>
        <v>0.36</v>
      </c>
      <c r="E210" t="str">
        <f>RTD("tos.rtd", , "MARK_PERCENT_CHANGE", "PATH")</f>
        <v>+3.42%</v>
      </c>
      <c r="F210">
        <f>RTD("tos.rtd", , "VOLUME", "PATH")</f>
        <v>3325647</v>
      </c>
      <c r="G210">
        <f>RTD("tos.rtd", , "BID", "PATH")</f>
        <v>10.89</v>
      </c>
      <c r="H210">
        <f>RTD("tos.rtd", , "ASK", "PATH")</f>
        <v>10.9</v>
      </c>
      <c r="I210" t="str">
        <f>RTD("tos.rtd", , "MARKET_CAP", "PATH")</f>
        <v>5,642 M</v>
      </c>
      <c r="J210" t="str">
        <f>RTD("tos.rtd", , "CUSTOM3", "PATH")</f>
        <v>loading</v>
      </c>
      <c r="K210">
        <f>RTD("tos.rtd", , "CUSTOM2", "PATH")</f>
        <v>66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10.02</v>
      </c>
      <c r="D211">
        <f>RTD("tos.rtd", , "MARK_CHANGE", "AVTR")</f>
        <v>-0.26</v>
      </c>
      <c r="E211" t="str">
        <f>RTD("tos.rtd", , "MARK_PERCENT_CHANGE", "AVTR")</f>
        <v>-2.53%</v>
      </c>
      <c r="F211">
        <f>RTD("tos.rtd", , "VOLUME", "AVTR")</f>
        <v>709979</v>
      </c>
      <c r="G211">
        <f>RTD("tos.rtd", , "BID", "AVTR")</f>
        <v>10.02</v>
      </c>
      <c r="H211">
        <f>RTD("tos.rtd", , "ASK", "AVTR")</f>
        <v>10.029999999999999</v>
      </c>
      <c r="I211" t="str">
        <f>RTD("tos.rtd", , "MARKET_CAP", "AVTR")</f>
        <v>6,841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1.2795000000000001</v>
      </c>
      <c r="D212">
        <f>RTD("tos.rtd", , "MARK_CHANGE", "NNOX")</f>
        <v>0.1895</v>
      </c>
      <c r="E212" t="str">
        <f>RTD("tos.rtd", , "MARK_PERCENT_CHANGE", "NNOX")</f>
        <v>+17.39%</v>
      </c>
      <c r="F212">
        <f>RTD("tos.rtd", , "VOLUME", "NNOX")</f>
        <v>1330461</v>
      </c>
      <c r="G212">
        <f>RTD("tos.rtd", , "BID", "NNOX")</f>
        <v>1.27</v>
      </c>
      <c r="H212">
        <f>RTD("tos.rtd", , "ASK", "NNOX")</f>
        <v>1.28</v>
      </c>
      <c r="I212" t="str">
        <f>RTD("tos.rtd", , "MARKET_CAP", "NNOX")</f>
        <v>89 M</v>
      </c>
      <c r="J212" t="str">
        <f>RTD("tos.rtd", , "CUSTOM3", "NNOX")</f>
        <v>loading</v>
      </c>
      <c r="K212">
        <f>RTD("tos.rtd", , "CUSTOM2", "NNOX")</f>
        <v>71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3.07</v>
      </c>
      <c r="D213">
        <f>RTD("tos.rtd", , "MARK_CHANGE", "PBM")</f>
        <v>0.1</v>
      </c>
      <c r="E213" t="str">
        <f>RTD("tos.rtd", , "MARK_PERCENT_CHANGE", "PBM")</f>
        <v>+3.37%</v>
      </c>
      <c r="F213">
        <f>RTD("tos.rtd", , "VOLUME", "PBM")</f>
        <v>8947</v>
      </c>
      <c r="G213">
        <f>RTD("tos.rtd", , "BID", "PBM")</f>
        <v>3.01</v>
      </c>
      <c r="H213">
        <f>RTD("tos.rtd", , "ASK", "PBM")</f>
        <v>3.07</v>
      </c>
      <c r="I213" t="str">
        <f>RTD("tos.rtd", , "MARKET_CAP", "PBM")</f>
        <v>12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0.68159999999999998</v>
      </c>
      <c r="D214">
        <f>RTD("tos.rtd", , "MARK_CHANGE", "BYND")</f>
        <v>2.2200000000000001E-2</v>
      </c>
      <c r="E214" t="str">
        <f>RTD("tos.rtd", , "MARK_PERCENT_CHANGE", "BYND")</f>
        <v>+3.37%</v>
      </c>
      <c r="F214">
        <f>RTD("tos.rtd", , "VOLUME", "BYND")</f>
        <v>3131288</v>
      </c>
      <c r="G214">
        <f>RTD("tos.rtd", , "BID", "BYND")</f>
        <v>0.68030000000000002</v>
      </c>
      <c r="H214">
        <f>RTD("tos.rtd", , "ASK", "BYND")</f>
        <v>0.68169999999999997</v>
      </c>
      <c r="I214" t="str">
        <f>RTD("tos.rtd", , "MARKET_CAP", "BYND")</f>
        <v>351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1.7450000000000001</v>
      </c>
      <c r="D215">
        <f>RTD("tos.rtd", , "MARK_CHANGE", "WLDS")</f>
        <v>5.0000000000000001E-3</v>
      </c>
      <c r="E215" t="str">
        <f>RTD("tos.rtd", , "MARK_PERCENT_CHANGE", "WLDS")</f>
        <v>+0.29%</v>
      </c>
      <c r="F215">
        <f>RTD("tos.rtd", , "VOLUME", "WLDS")</f>
        <v>5630</v>
      </c>
      <c r="G215">
        <f>RTD("tos.rtd", , "BID", "WLDS")</f>
        <v>1.72</v>
      </c>
      <c r="H215">
        <f>RTD("tos.rtd", , "ASK", "WLDS")</f>
        <v>1.77</v>
      </c>
      <c r="I215" t="str">
        <f>RTD("tos.rtd", , "MARKET_CAP", "WLDS")</f>
        <v>3.8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A</v>
      </c>
      <c r="C216">
        <f>RTD("tos.rtd", , "MARK", "PAVS")</f>
        <v>6.29</v>
      </c>
      <c r="D216">
        <f>RTD("tos.rtd", , "MARK_CHANGE", "PAVS")</f>
        <v>6.2169999999999996</v>
      </c>
      <c r="E216" t="str">
        <f>RTD("tos.rtd", , "MARK_PERCENT_CHANGE", "PAVS")</f>
        <v>+8516.44%</v>
      </c>
      <c r="F216">
        <f>RTD("tos.rtd", , "VOLUME", "PAVS")</f>
        <v>193193</v>
      </c>
      <c r="G216">
        <f>RTD("tos.rtd", , "BID", "PAVS")</f>
        <v>6.28</v>
      </c>
      <c r="H216">
        <f>RTD("tos.rtd", , "ASK", "PAVS")</f>
        <v>6.5</v>
      </c>
      <c r="I216" t="str">
        <f>RTD("tos.rtd", , "MARKET_CAP", "PAVS")</f>
        <v>3.2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6.55</v>
      </c>
      <c r="D217">
        <f>RTD("tos.rtd", , "MARK_CHANGE", "GSIT")</f>
        <v>-0.28999999999999998</v>
      </c>
      <c r="E217" t="str">
        <f>RTD("tos.rtd", , "MARK_PERCENT_CHANGE", "GSIT")</f>
        <v>-4.24%</v>
      </c>
      <c r="F217">
        <f>RTD("tos.rtd", , "VOLUME", "GSIT")</f>
        <v>148295</v>
      </c>
      <c r="G217">
        <f>RTD("tos.rtd", , "BID", "GSIT")</f>
        <v>6.54</v>
      </c>
      <c r="H217">
        <f>RTD("tos.rtd", , "ASK", "GSIT")</f>
        <v>6.56</v>
      </c>
      <c r="I217" t="str">
        <f>RTD("tos.rtd", , "MARKET_CAP", "GSIT")</f>
        <v>251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1.4550000000000001</v>
      </c>
      <c r="D218">
        <f>RTD("tos.rtd", , "MARK_CHANGE", "BZAI")</f>
        <v>-1.4999999999999999E-2</v>
      </c>
      <c r="E218" t="str">
        <f>RTD("tos.rtd", , "MARK_PERCENT_CHANGE", "BZAI")</f>
        <v>-1.02%</v>
      </c>
      <c r="F218">
        <f>RTD("tos.rtd", , "VOLUME", "BZAI")</f>
        <v>579023</v>
      </c>
      <c r="G218">
        <f>RTD("tos.rtd", , "BID", "BZAI")</f>
        <v>1.45</v>
      </c>
      <c r="H218">
        <f>RTD("tos.rtd", , "ASK", "BZAI")</f>
        <v>1.46</v>
      </c>
      <c r="I218" t="str">
        <f>RTD("tos.rtd", , "MARKET_CAP", "BZAI")</f>
        <v>207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7.7</v>
      </c>
      <c r="D219">
        <f>RTD("tos.rtd", , "MARK_CHANGE", "SPT")</f>
        <v>0.22</v>
      </c>
      <c r="E219" t="str">
        <f>RTD("tos.rtd", , "MARK_PERCENT_CHANGE", "SPT")</f>
        <v>+2.94%</v>
      </c>
      <c r="F219">
        <f>RTD("tos.rtd", , "VOLUME", "SPT")</f>
        <v>146267</v>
      </c>
      <c r="G219">
        <f>RTD("tos.rtd", , "BID", "SPT")</f>
        <v>7.69</v>
      </c>
      <c r="H219">
        <f>RTD("tos.rtd", , "ASK", "SPT")</f>
        <v>7.7</v>
      </c>
      <c r="I219" t="str">
        <f>RTD("tos.rtd", , "MARKET_CAP", "SPT")</f>
        <v>463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6.1</v>
      </c>
      <c r="D220">
        <f>RTD("tos.rtd", , "MARK_CHANGE", "WEAV")</f>
        <v>0.18</v>
      </c>
      <c r="E220" t="str">
        <f>RTD("tos.rtd", , "MARK_PERCENT_CHANGE", "WEAV")</f>
        <v>+3.04%</v>
      </c>
      <c r="F220">
        <f>RTD("tos.rtd", , "VOLUME", "WEAV")</f>
        <v>183142</v>
      </c>
      <c r="G220">
        <f>RTD("tos.rtd", , "BID", "WEAV")</f>
        <v>6.09</v>
      </c>
      <c r="H220">
        <f>RTD("tos.rtd", , "ASK", "WEAV")</f>
        <v>6.1</v>
      </c>
      <c r="I220" t="str">
        <f>RTD("tos.rtd", , "MARKET_CAP", "WEAV")</f>
        <v>485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3.0830000000000002</v>
      </c>
      <c r="D221">
        <f>RTD("tos.rtd", , "MARK_CHANGE", "EEIQ")</f>
        <v>7.2499999999999995E-2</v>
      </c>
      <c r="E221" t="str">
        <f>RTD("tos.rtd", , "MARK_PERCENT_CHANGE", "EEIQ")</f>
        <v>+2.41%</v>
      </c>
      <c r="F221">
        <f>RTD("tos.rtd", , "VOLUME", "EEIQ")</f>
        <v>11126</v>
      </c>
      <c r="G221">
        <f>RTD("tos.rtd", , "BID", "EEIQ")</f>
        <v>3.01</v>
      </c>
      <c r="H221">
        <f>RTD("tos.rtd", , "ASK", "EEIQ")</f>
        <v>3.65</v>
      </c>
      <c r="I221" t="str">
        <f>RTD("tos.rtd", , "MARKET_CAP", "EEIQ")</f>
        <v>5.1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2.86</v>
      </c>
      <c r="D222">
        <f>RTD("tos.rtd", , "MARK_CHANGE", "ACB")</f>
        <v>0.03</v>
      </c>
      <c r="E222" t="str">
        <f>RTD("tos.rtd", , "MARK_PERCENT_CHANGE", "ACB")</f>
        <v>+1.06%</v>
      </c>
      <c r="F222">
        <f>RTD("tos.rtd", , "VOLUME", "ACB")</f>
        <v>77030</v>
      </c>
      <c r="G222">
        <f>RTD("tos.rtd", , "BID", "ACB")</f>
        <v>2.86</v>
      </c>
      <c r="H222">
        <f>RTD("tos.rtd", , "ASK", "ACB")</f>
        <v>2.87</v>
      </c>
      <c r="I222" t="str">
        <f>RTD("tos.rtd", , "MARKET_CAP", "ACB")</f>
        <v>177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2.75</v>
      </c>
      <c r="D223">
        <f>RTD("tos.rtd", , "MARK_CHANGE", "SIDU")</f>
        <v>0.14000000000000001</v>
      </c>
      <c r="E223" t="str">
        <f>RTD("tos.rtd", , "MARK_PERCENT_CHANGE", "SIDU")</f>
        <v>+5.36%</v>
      </c>
      <c r="F223">
        <f>RTD("tos.rtd", , "VOLUME", "SIDU")</f>
        <v>3284224</v>
      </c>
      <c r="G223">
        <f>RTD("tos.rtd", , "BID", "SIDU")</f>
        <v>2.74</v>
      </c>
      <c r="H223">
        <f>RTD("tos.rtd", , "ASK", "SIDU")</f>
        <v>2.75</v>
      </c>
      <c r="I223" t="str">
        <f>RTD("tos.rtd", , "MARKET_CAP", "SIDU")</f>
        <v>268 M</v>
      </c>
      <c r="J223" t="str">
        <f>RTD("tos.rtd", , "CUSTOM3", "SIDU")</f>
        <v>loading</v>
      </c>
      <c r="K223">
        <f>RTD("tos.rtd", , "CUSTOM2", "SIDU")</f>
        <v>28.85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10.7</v>
      </c>
      <c r="D224">
        <f>RTD("tos.rtd", , "MARK_CHANGE", "NTSK")</f>
        <v>0.41</v>
      </c>
      <c r="E224" t="str">
        <f>RTD("tos.rtd", , "MARK_PERCENT_CHANGE", "NTSK")</f>
        <v>+3.98%</v>
      </c>
      <c r="F224">
        <f>RTD("tos.rtd", , "VOLUME", "NTSK")</f>
        <v>476387</v>
      </c>
      <c r="G224">
        <f>RTD("tos.rtd", , "BID", "NTSK")</f>
        <v>10.69</v>
      </c>
      <c r="H224">
        <f>RTD("tos.rtd", , "ASK", "NTSK")</f>
        <v>10.7</v>
      </c>
      <c r="I224" t="str">
        <f>RTD("tos.rtd", , "MARKET_CAP", "NTSK")</f>
        <v>4,322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3.8650000000000002</v>
      </c>
      <c r="D225">
        <f>RTD("tos.rtd", , "MARK_CHANGE", "ELDN")</f>
        <v>8.5000000000000006E-2</v>
      </c>
      <c r="E225" t="str">
        <f>RTD("tos.rtd", , "MARK_PERCENT_CHANGE", "ELDN")</f>
        <v>+2.25%</v>
      </c>
      <c r="F225">
        <f>RTD("tos.rtd", , "VOLUME", "ELDN")</f>
        <v>364955</v>
      </c>
      <c r="G225">
        <f>RTD("tos.rtd", , "BID", "ELDN")</f>
        <v>3.86</v>
      </c>
      <c r="H225">
        <f>RTD("tos.rtd", , "ASK", "ELDN")</f>
        <v>3.87</v>
      </c>
      <c r="I225" t="str">
        <f>RTD("tos.rtd", , "MARKET_CAP", "ELDN")</f>
        <v>298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1.7623</v>
      </c>
      <c r="D226">
        <f>RTD("tos.rtd", , "MARK_CHANGE", "PACB")</f>
        <v>0.1123</v>
      </c>
      <c r="E226" t="str">
        <f>RTD("tos.rtd", , "MARK_PERCENT_CHANGE", "PACB")</f>
        <v>+6.81%</v>
      </c>
      <c r="F226">
        <f>RTD("tos.rtd", , "VOLUME", "PACB")</f>
        <v>1602475</v>
      </c>
      <c r="G226">
        <f>RTD("tos.rtd", , "BID", "PACB")</f>
        <v>1.76</v>
      </c>
      <c r="H226">
        <f>RTD("tos.rtd", , "ASK", "PACB")</f>
        <v>1.77</v>
      </c>
      <c r="I226" t="str">
        <f>RTD("tos.rtd", , "MARKET_CAP", "PACB")</f>
        <v>547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2.9923000000000002</v>
      </c>
      <c r="D227">
        <f>RTD("tos.rtd", , "MARK_CHANGE", "DOMO")</f>
        <v>5.2299999999999999E-2</v>
      </c>
      <c r="E227" t="str">
        <f>RTD("tos.rtd", , "MARK_PERCENT_CHANGE", "DOMO")</f>
        <v>+1.78%</v>
      </c>
      <c r="F227">
        <f>RTD("tos.rtd", , "VOLUME", "DOMO")</f>
        <v>447994</v>
      </c>
      <c r="G227">
        <f>RTD("tos.rtd", , "BID", "DOMO")</f>
        <v>2.99</v>
      </c>
      <c r="H227">
        <f>RTD("tos.rtd", , "ASK", "DOMO")</f>
        <v>3</v>
      </c>
      <c r="I227" t="str">
        <f>RTD("tos.rtd", , "MARKET_CAP", "DOMO")</f>
        <v>135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1.66</v>
      </c>
      <c r="D228">
        <f>RTD("tos.rtd", , "MARK_CHANGE", "ACXP")</f>
        <v>0.14000000000000001</v>
      </c>
      <c r="E228" t="str">
        <f>RTD("tos.rtd", , "MARK_PERCENT_CHANGE", "ACXP")</f>
        <v>+9.21%</v>
      </c>
      <c r="F228">
        <f>RTD("tos.rtd", , "VOLUME", "ACXP")</f>
        <v>40350</v>
      </c>
      <c r="G228">
        <f>RTD("tos.rtd", , "BID", "ACXP")</f>
        <v>1.65</v>
      </c>
      <c r="H228">
        <f>RTD("tos.rtd", , "ASK", "ACXP")</f>
        <v>1.72</v>
      </c>
      <c r="I228" t="str">
        <f>RTD("tos.rtd", , "MARKET_CAP", "ACXP")</f>
        <v>7.1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0.82650000000000001</v>
      </c>
      <c r="D229">
        <f>RTD("tos.rtd", , "MARK_CHANGE", "BIAF")</f>
        <v>-3.5000000000000001E-3</v>
      </c>
      <c r="E229" t="str">
        <f>RTD("tos.rtd", , "MARK_PERCENT_CHANGE", "BIAF")</f>
        <v>-0.42%</v>
      </c>
      <c r="F229">
        <f>RTD("tos.rtd", , "VOLUME", "BIAF")</f>
        <v>11179</v>
      </c>
      <c r="G229">
        <f>RTD("tos.rtd", , "BID", "BIAF")</f>
        <v>0.82609999999999995</v>
      </c>
      <c r="H229">
        <f>RTD("tos.rtd", , "ASK", "BIAF")</f>
        <v>0.82950000000000002</v>
      </c>
      <c r="I229" t="str">
        <f>RTD("tos.rtd", , "MARKET_CAP", "BIAF")</f>
        <v>5.2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2.415</v>
      </c>
      <c r="D230">
        <f>RTD("tos.rtd", , "MARK_CHANGE", "HTZ")</f>
        <v>-0.22500000000000001</v>
      </c>
      <c r="E230" t="str">
        <f>RTD("tos.rtd", , "MARK_PERCENT_CHANGE", "HTZ")</f>
        <v>-8.52%</v>
      </c>
      <c r="F230">
        <f>RTD("tos.rtd", , "VOLUME", "HTZ")</f>
        <v>7722885</v>
      </c>
      <c r="G230">
        <f>RTD("tos.rtd", , "BID", "HTZ")</f>
        <v>2.41</v>
      </c>
      <c r="H230">
        <f>RTD("tos.rtd", , "ASK", "HTZ")</f>
        <v>2.42</v>
      </c>
      <c r="I230" t="str">
        <f>RTD("tos.rtd", , "MARKET_CAP", "HTZ")</f>
        <v>763 M</v>
      </c>
      <c r="J230" t="str">
        <f>RTD("tos.rtd", , "CUSTOM3", "HTZ")</f>
        <v>loading</v>
      </c>
      <c r="K230">
        <f>RTD("tos.rtd", , "CUSTOM2", "HTZ")</f>
        <v>21.52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9.4149999999999991</v>
      </c>
      <c r="D231">
        <f>RTD("tos.rtd", , "MARK_CHANGE", "PD")</f>
        <v>0.32500000000000001</v>
      </c>
      <c r="E231" t="str">
        <f>RTD("tos.rtd", , "MARK_PERCENT_CHANGE", "PD")</f>
        <v>+3.58%</v>
      </c>
      <c r="F231">
        <f>RTD("tos.rtd", , "VOLUME", "PD")</f>
        <v>155690</v>
      </c>
      <c r="G231">
        <f>RTD("tos.rtd", , "BID", "PD")</f>
        <v>9.4</v>
      </c>
      <c r="H231">
        <f>RTD("tos.rtd", , "ASK", "PD")</f>
        <v>9.43</v>
      </c>
      <c r="I231" t="str">
        <f>RTD("tos.rtd", , "MARKET_CAP", "PD")</f>
        <v>726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0.97829999999999995</v>
      </c>
      <c r="D232">
        <f>RTD("tos.rtd", , "MARK_CHANGE", "SRFM")</f>
        <v>7.6399999999999996E-2</v>
      </c>
      <c r="E232" t="str">
        <f>RTD("tos.rtd", , "MARK_PERCENT_CHANGE", "SRFM")</f>
        <v>+8.47%</v>
      </c>
      <c r="F232">
        <f>RTD("tos.rtd", , "VOLUME", "SRFM")</f>
        <v>72935373</v>
      </c>
      <c r="G232">
        <f>RTD("tos.rtd", , "BID", "SRFM")</f>
        <v>0.97650000000000003</v>
      </c>
      <c r="H232">
        <f>RTD("tos.rtd", , "ASK", "SRFM")</f>
        <v>0.98</v>
      </c>
      <c r="I232" t="str">
        <f>RTD("tos.rtd", , "MARKET_CAP", "SRFM")</f>
        <v>98 M</v>
      </c>
      <c r="J232" t="str">
        <f>RTD("tos.rtd", , "CUSTOM3", "SRFM")</f>
        <v>loading</v>
      </c>
      <c r="K232">
        <f>RTD("tos.rtd", , "CUSTOM2", "SRFM")</f>
        <v>4.5125000000000002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2026-06-29T14:01:43Z</dcterms:modified>
</cp:coreProperties>
</file>