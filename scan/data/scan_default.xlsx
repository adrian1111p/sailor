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ite\sailor\scan\data\"/>
    </mc:Choice>
  </mc:AlternateContent>
  <xr:revisionPtr revIDLastSave="0" documentId="13_ncr:1_{BEEE3A8B-C4E4-44EC-9661-C91575156EF7}" xr6:coauthVersionLast="47" xr6:coauthVersionMax="47" xr10:uidLastSave="{00000000-0000-0000-0000-000000000000}"/>
  <bookViews>
    <workbookView xWindow="33315" yWindow="2520" windowWidth="21600" windowHeight="11295" xr2:uid="{CE11802D-7084-4B31-AE3D-6ACD61281FC3}"/>
  </bookViews>
  <sheets>
    <sheet name="Candidat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9" i="1" l="1"/>
  <c r="C69" i="1"/>
  <c r="D69" i="1"/>
  <c r="E69" i="1"/>
  <c r="F69" i="1"/>
  <c r="G69" i="1"/>
  <c r="H69" i="1"/>
  <c r="I69" i="1"/>
  <c r="J69" i="1"/>
  <c r="K69" i="1"/>
  <c r="B70" i="1"/>
  <c r="C70" i="1"/>
  <c r="D70" i="1"/>
  <c r="E70" i="1"/>
  <c r="F70" i="1"/>
  <c r="G70" i="1"/>
  <c r="H70" i="1"/>
  <c r="I70" i="1"/>
  <c r="J70" i="1"/>
  <c r="K70" i="1"/>
  <c r="B71" i="1"/>
  <c r="C71" i="1"/>
  <c r="D71" i="1"/>
  <c r="E71" i="1"/>
  <c r="F71" i="1"/>
  <c r="G71" i="1"/>
  <c r="H71" i="1"/>
  <c r="I71" i="1"/>
  <c r="J71" i="1"/>
  <c r="K71" i="1"/>
  <c r="B72" i="1"/>
  <c r="C72" i="1"/>
  <c r="D72" i="1"/>
  <c r="E72" i="1"/>
  <c r="F72" i="1"/>
  <c r="G72" i="1"/>
  <c r="H72" i="1"/>
  <c r="I72" i="1"/>
  <c r="J72" i="1"/>
  <c r="K72" i="1"/>
  <c r="B73" i="1"/>
  <c r="C73" i="1"/>
  <c r="D73" i="1"/>
  <c r="E73" i="1"/>
  <c r="F73" i="1"/>
  <c r="G73" i="1"/>
  <c r="H73" i="1"/>
  <c r="I73" i="1"/>
  <c r="J73" i="1"/>
  <c r="K73" i="1"/>
  <c r="B74" i="1"/>
  <c r="C74" i="1"/>
  <c r="D74" i="1"/>
  <c r="E74" i="1"/>
  <c r="F74" i="1"/>
  <c r="G74" i="1"/>
  <c r="H74" i="1"/>
  <c r="I74" i="1"/>
  <c r="J74" i="1"/>
  <c r="K74" i="1"/>
  <c r="B75" i="1"/>
  <c r="C75" i="1"/>
  <c r="D75" i="1"/>
  <c r="E75" i="1"/>
  <c r="F75" i="1"/>
  <c r="G75" i="1"/>
  <c r="H75" i="1"/>
  <c r="I75" i="1"/>
  <c r="J75" i="1"/>
  <c r="K75" i="1"/>
  <c r="B76" i="1"/>
  <c r="C76" i="1"/>
  <c r="D76" i="1"/>
  <c r="E76" i="1"/>
  <c r="F76" i="1"/>
  <c r="G76" i="1"/>
  <c r="H76" i="1"/>
  <c r="I76" i="1"/>
  <c r="J76" i="1"/>
  <c r="K76" i="1"/>
  <c r="B77" i="1"/>
  <c r="C77" i="1"/>
  <c r="D77" i="1"/>
  <c r="E77" i="1"/>
  <c r="F77" i="1"/>
  <c r="G77" i="1"/>
  <c r="H77" i="1"/>
  <c r="I77" i="1"/>
  <c r="J77" i="1"/>
  <c r="K77" i="1"/>
  <c r="B78" i="1"/>
  <c r="C78" i="1"/>
  <c r="D78" i="1"/>
  <c r="E78" i="1"/>
  <c r="F78" i="1"/>
  <c r="G78" i="1"/>
  <c r="H78" i="1"/>
  <c r="I78" i="1"/>
  <c r="J78" i="1"/>
  <c r="K78" i="1"/>
  <c r="B79" i="1"/>
  <c r="C79" i="1"/>
  <c r="D79" i="1"/>
  <c r="E79" i="1"/>
  <c r="F79" i="1"/>
  <c r="G79" i="1"/>
  <c r="H79" i="1"/>
  <c r="I79" i="1"/>
  <c r="J79" i="1"/>
  <c r="K79" i="1"/>
  <c r="B80" i="1"/>
  <c r="C80" i="1"/>
  <c r="D80" i="1"/>
  <c r="E80" i="1"/>
  <c r="F80" i="1"/>
  <c r="G80" i="1"/>
  <c r="H80" i="1"/>
  <c r="I80" i="1"/>
  <c r="J80" i="1"/>
  <c r="K80" i="1"/>
  <c r="B81" i="1"/>
  <c r="C81" i="1"/>
  <c r="D81" i="1"/>
  <c r="E81" i="1"/>
  <c r="F81" i="1"/>
  <c r="G81" i="1"/>
  <c r="H81" i="1"/>
  <c r="I81" i="1"/>
  <c r="J81" i="1"/>
  <c r="K81" i="1"/>
  <c r="B82" i="1"/>
  <c r="C82" i="1"/>
  <c r="D82" i="1"/>
  <c r="E82" i="1"/>
  <c r="F82" i="1"/>
  <c r="G82" i="1"/>
  <c r="H82" i="1"/>
  <c r="I82" i="1"/>
  <c r="J82" i="1"/>
  <c r="K82" i="1"/>
  <c r="B83" i="1"/>
  <c r="C83" i="1"/>
  <c r="D83" i="1"/>
  <c r="E83" i="1"/>
  <c r="F83" i="1"/>
  <c r="G83" i="1"/>
  <c r="H83" i="1"/>
  <c r="I83" i="1"/>
  <c r="J83" i="1"/>
  <c r="K83" i="1"/>
  <c r="B84" i="1"/>
  <c r="C84" i="1"/>
  <c r="D84" i="1"/>
  <c r="E84" i="1"/>
  <c r="F84" i="1"/>
  <c r="G84" i="1"/>
  <c r="H84" i="1"/>
  <c r="I84" i="1"/>
  <c r="J84" i="1"/>
  <c r="K84" i="1"/>
  <c r="B85" i="1"/>
  <c r="C85" i="1"/>
  <c r="D85" i="1"/>
  <c r="E85" i="1"/>
  <c r="F85" i="1"/>
  <c r="G85" i="1"/>
  <c r="H85" i="1"/>
  <c r="I85" i="1"/>
  <c r="J85" i="1"/>
  <c r="K85" i="1"/>
  <c r="B86" i="1"/>
  <c r="C86" i="1"/>
  <c r="D86" i="1"/>
  <c r="E86" i="1"/>
  <c r="F86" i="1"/>
  <c r="G86" i="1"/>
  <c r="H86" i="1"/>
  <c r="I86" i="1"/>
  <c r="J86" i="1"/>
  <c r="K86" i="1"/>
  <c r="B87" i="1"/>
  <c r="C87" i="1"/>
  <c r="D87" i="1"/>
  <c r="E87" i="1"/>
  <c r="F87" i="1"/>
  <c r="G87" i="1"/>
  <c r="H87" i="1"/>
  <c r="I87" i="1"/>
  <c r="J87" i="1"/>
  <c r="K87" i="1"/>
  <c r="B88" i="1"/>
  <c r="C88" i="1"/>
  <c r="D88" i="1"/>
  <c r="E88" i="1"/>
  <c r="F88" i="1"/>
  <c r="G88" i="1"/>
  <c r="H88" i="1"/>
  <c r="I88" i="1"/>
  <c r="J88" i="1"/>
  <c r="K88" i="1"/>
  <c r="B89" i="1"/>
  <c r="C89" i="1"/>
  <c r="D89" i="1"/>
  <c r="E89" i="1"/>
  <c r="F89" i="1"/>
  <c r="G89" i="1"/>
  <c r="H89" i="1"/>
  <c r="I89" i="1"/>
  <c r="J89" i="1"/>
  <c r="K89" i="1"/>
  <c r="B90" i="1"/>
  <c r="C90" i="1"/>
  <c r="D90" i="1"/>
  <c r="E90" i="1"/>
  <c r="F90" i="1"/>
  <c r="G90" i="1"/>
  <c r="H90" i="1"/>
  <c r="I90" i="1"/>
  <c r="J90" i="1"/>
  <c r="K90" i="1"/>
  <c r="B91" i="1"/>
  <c r="C91" i="1"/>
  <c r="D91" i="1"/>
  <c r="E91" i="1"/>
  <c r="F91" i="1"/>
  <c r="G91" i="1"/>
  <c r="H91" i="1"/>
  <c r="I91" i="1"/>
  <c r="J91" i="1"/>
  <c r="K91" i="1"/>
  <c r="B92" i="1"/>
  <c r="C92" i="1"/>
  <c r="D92" i="1"/>
  <c r="E92" i="1"/>
  <c r="F92" i="1"/>
  <c r="G92" i="1"/>
  <c r="H92" i="1"/>
  <c r="I92" i="1"/>
  <c r="J92" i="1"/>
  <c r="K92" i="1"/>
  <c r="B93" i="1"/>
  <c r="C93" i="1"/>
  <c r="D93" i="1"/>
  <c r="E93" i="1"/>
  <c r="F93" i="1"/>
  <c r="G93" i="1"/>
  <c r="H93" i="1"/>
  <c r="I93" i="1"/>
  <c r="J93" i="1"/>
  <c r="K93" i="1"/>
  <c r="B94" i="1"/>
  <c r="C94" i="1"/>
  <c r="D94" i="1"/>
  <c r="E94" i="1"/>
  <c r="F94" i="1"/>
  <c r="G94" i="1"/>
  <c r="H94" i="1"/>
  <c r="I94" i="1"/>
  <c r="J94" i="1"/>
  <c r="K94" i="1"/>
  <c r="B95" i="1"/>
  <c r="C95" i="1"/>
  <c r="D95" i="1"/>
  <c r="E95" i="1"/>
  <c r="F95" i="1"/>
  <c r="G95" i="1"/>
  <c r="H95" i="1"/>
  <c r="I95" i="1"/>
  <c r="J95" i="1"/>
  <c r="K95" i="1"/>
  <c r="B96" i="1"/>
  <c r="C96" i="1"/>
  <c r="D96" i="1"/>
  <c r="E96" i="1"/>
  <c r="F96" i="1"/>
  <c r="G96" i="1"/>
  <c r="H96" i="1"/>
  <c r="I96" i="1"/>
  <c r="J96" i="1"/>
  <c r="K96" i="1"/>
  <c r="B97" i="1"/>
  <c r="C97" i="1"/>
  <c r="D97" i="1"/>
  <c r="E97" i="1"/>
  <c r="F97" i="1"/>
  <c r="G97" i="1"/>
  <c r="H97" i="1"/>
  <c r="I97" i="1"/>
  <c r="J97" i="1"/>
  <c r="K97" i="1"/>
  <c r="B98" i="1"/>
  <c r="C98" i="1"/>
  <c r="D98" i="1"/>
  <c r="E98" i="1"/>
  <c r="F98" i="1"/>
  <c r="G98" i="1"/>
  <c r="H98" i="1"/>
  <c r="I98" i="1"/>
  <c r="J98" i="1"/>
  <c r="K98" i="1"/>
  <c r="B99" i="1"/>
  <c r="C99" i="1"/>
  <c r="D99" i="1"/>
  <c r="E99" i="1"/>
  <c r="F99" i="1"/>
  <c r="G99" i="1"/>
  <c r="H99" i="1"/>
  <c r="I99" i="1"/>
  <c r="J99" i="1"/>
  <c r="K99" i="1"/>
  <c r="B100" i="1"/>
  <c r="C100" i="1"/>
  <c r="D100" i="1"/>
  <c r="E100" i="1"/>
  <c r="F100" i="1"/>
  <c r="G100" i="1"/>
  <c r="H100" i="1"/>
  <c r="I100" i="1"/>
  <c r="J100" i="1"/>
  <c r="K100" i="1"/>
  <c r="B101" i="1"/>
  <c r="C101" i="1"/>
  <c r="D101" i="1"/>
  <c r="E101" i="1"/>
  <c r="F101" i="1"/>
  <c r="G101" i="1"/>
  <c r="H101" i="1"/>
  <c r="I101" i="1"/>
  <c r="J101" i="1"/>
  <c r="K101" i="1"/>
  <c r="B102" i="1"/>
  <c r="C102" i="1"/>
  <c r="D102" i="1"/>
  <c r="E102" i="1"/>
  <c r="F102" i="1"/>
  <c r="G102" i="1"/>
  <c r="H102" i="1"/>
  <c r="I102" i="1"/>
  <c r="J102" i="1"/>
  <c r="K102" i="1"/>
  <c r="B103" i="1"/>
  <c r="C103" i="1"/>
  <c r="D103" i="1"/>
  <c r="E103" i="1"/>
  <c r="F103" i="1"/>
  <c r="G103" i="1"/>
  <c r="H103" i="1"/>
  <c r="I103" i="1"/>
  <c r="J103" i="1"/>
  <c r="K103" i="1"/>
  <c r="B104" i="1"/>
  <c r="C104" i="1"/>
  <c r="D104" i="1"/>
  <c r="E104" i="1"/>
  <c r="F104" i="1"/>
  <c r="G104" i="1"/>
  <c r="H104" i="1"/>
  <c r="I104" i="1"/>
  <c r="J104" i="1"/>
  <c r="K104" i="1"/>
  <c r="B105" i="1"/>
  <c r="C105" i="1"/>
  <c r="D105" i="1"/>
  <c r="E105" i="1"/>
  <c r="F105" i="1"/>
  <c r="G105" i="1"/>
  <c r="H105" i="1"/>
  <c r="I105" i="1"/>
  <c r="J105" i="1"/>
  <c r="K105" i="1"/>
  <c r="B106" i="1"/>
  <c r="C106" i="1"/>
  <c r="D106" i="1"/>
  <c r="E106" i="1"/>
  <c r="F106" i="1"/>
  <c r="G106" i="1"/>
  <c r="H106" i="1"/>
  <c r="I106" i="1"/>
  <c r="J106" i="1"/>
  <c r="K106" i="1"/>
  <c r="B107" i="1"/>
  <c r="C107" i="1"/>
  <c r="D107" i="1"/>
  <c r="E107" i="1"/>
  <c r="F107" i="1"/>
  <c r="G107" i="1"/>
  <c r="H107" i="1"/>
  <c r="I107" i="1"/>
  <c r="J107" i="1"/>
  <c r="K107" i="1"/>
  <c r="B108" i="1"/>
  <c r="C108" i="1"/>
  <c r="D108" i="1"/>
  <c r="E108" i="1"/>
  <c r="F108" i="1"/>
  <c r="G108" i="1"/>
  <c r="H108" i="1"/>
  <c r="I108" i="1"/>
  <c r="J108" i="1"/>
  <c r="K108" i="1"/>
  <c r="B109" i="1"/>
  <c r="C109" i="1"/>
  <c r="D109" i="1"/>
  <c r="E109" i="1"/>
  <c r="F109" i="1"/>
  <c r="G109" i="1"/>
  <c r="H109" i="1"/>
  <c r="I109" i="1"/>
  <c r="J109" i="1"/>
  <c r="K109" i="1"/>
  <c r="B110" i="1"/>
  <c r="C110" i="1"/>
  <c r="D110" i="1"/>
  <c r="E110" i="1"/>
  <c r="F110" i="1"/>
  <c r="G110" i="1"/>
  <c r="H110" i="1"/>
  <c r="I110" i="1"/>
  <c r="J110" i="1"/>
  <c r="K110" i="1"/>
  <c r="B111" i="1"/>
  <c r="C111" i="1"/>
  <c r="D111" i="1"/>
  <c r="E111" i="1"/>
  <c r="F111" i="1"/>
  <c r="G111" i="1"/>
  <c r="H111" i="1"/>
  <c r="I111" i="1"/>
  <c r="J111" i="1"/>
  <c r="K111" i="1"/>
  <c r="B112" i="1"/>
  <c r="C112" i="1"/>
  <c r="D112" i="1"/>
  <c r="E112" i="1"/>
  <c r="F112" i="1"/>
  <c r="G112" i="1"/>
  <c r="H112" i="1"/>
  <c r="I112" i="1"/>
  <c r="J112" i="1"/>
  <c r="K112" i="1"/>
  <c r="B113" i="1"/>
  <c r="C113" i="1"/>
  <c r="D113" i="1"/>
  <c r="E113" i="1"/>
  <c r="F113" i="1"/>
  <c r="G113" i="1"/>
  <c r="H113" i="1"/>
  <c r="I113" i="1"/>
  <c r="J113" i="1"/>
  <c r="K113" i="1"/>
  <c r="B114" i="1"/>
  <c r="C114" i="1"/>
  <c r="D114" i="1"/>
  <c r="E114" i="1"/>
  <c r="F114" i="1"/>
  <c r="G114" i="1"/>
  <c r="H114" i="1"/>
  <c r="I114" i="1"/>
  <c r="J114" i="1"/>
  <c r="K114" i="1"/>
  <c r="B115" i="1"/>
  <c r="C115" i="1"/>
  <c r="D115" i="1"/>
  <c r="E115" i="1"/>
  <c r="F115" i="1"/>
  <c r="G115" i="1"/>
  <c r="H115" i="1"/>
  <c r="I115" i="1"/>
  <c r="J115" i="1"/>
  <c r="K115" i="1"/>
  <c r="B116" i="1"/>
  <c r="C116" i="1"/>
  <c r="D116" i="1"/>
  <c r="E116" i="1"/>
  <c r="F116" i="1"/>
  <c r="G116" i="1"/>
  <c r="H116" i="1"/>
  <c r="I116" i="1"/>
  <c r="J116" i="1"/>
  <c r="K116" i="1"/>
  <c r="B117" i="1"/>
  <c r="C117" i="1"/>
  <c r="D117" i="1"/>
  <c r="E117" i="1"/>
  <c r="F117" i="1"/>
  <c r="G117" i="1"/>
  <c r="H117" i="1"/>
  <c r="I117" i="1"/>
  <c r="J117" i="1"/>
  <c r="K117" i="1"/>
  <c r="B118" i="1"/>
  <c r="C118" i="1"/>
  <c r="D118" i="1"/>
  <c r="E118" i="1"/>
  <c r="F118" i="1"/>
  <c r="G118" i="1"/>
  <c r="H118" i="1"/>
  <c r="I118" i="1"/>
  <c r="J118" i="1"/>
  <c r="K118" i="1"/>
  <c r="B119" i="1"/>
  <c r="C119" i="1"/>
  <c r="D119" i="1"/>
  <c r="E119" i="1"/>
  <c r="F119" i="1"/>
  <c r="G119" i="1"/>
  <c r="H119" i="1"/>
  <c r="I119" i="1"/>
  <c r="J119" i="1"/>
  <c r="K119" i="1"/>
  <c r="B120" i="1"/>
  <c r="C120" i="1"/>
  <c r="D120" i="1"/>
  <c r="E120" i="1"/>
  <c r="F120" i="1"/>
  <c r="G120" i="1"/>
  <c r="H120" i="1"/>
  <c r="I120" i="1"/>
  <c r="J120" i="1"/>
  <c r="K120" i="1"/>
  <c r="B121" i="1"/>
  <c r="C121" i="1"/>
  <c r="D121" i="1"/>
  <c r="E121" i="1"/>
  <c r="F121" i="1"/>
  <c r="G121" i="1"/>
  <c r="H121" i="1"/>
  <c r="I121" i="1"/>
  <c r="J121" i="1"/>
  <c r="K121" i="1"/>
  <c r="B122" i="1"/>
  <c r="C122" i="1"/>
  <c r="D122" i="1"/>
  <c r="E122" i="1"/>
  <c r="F122" i="1"/>
  <c r="G122" i="1"/>
  <c r="H122" i="1"/>
  <c r="I122" i="1"/>
  <c r="J122" i="1"/>
  <c r="K122" i="1"/>
  <c r="B123" i="1"/>
  <c r="C123" i="1"/>
  <c r="D123" i="1"/>
  <c r="E123" i="1"/>
  <c r="F123" i="1"/>
  <c r="G123" i="1"/>
  <c r="H123" i="1"/>
  <c r="I123" i="1"/>
  <c r="J123" i="1"/>
  <c r="K123" i="1"/>
  <c r="B124" i="1"/>
  <c r="C124" i="1"/>
  <c r="D124" i="1"/>
  <c r="E124" i="1"/>
  <c r="F124" i="1"/>
  <c r="G124" i="1"/>
  <c r="H124" i="1"/>
  <c r="I124" i="1"/>
  <c r="J124" i="1"/>
  <c r="K124" i="1"/>
  <c r="B125" i="1"/>
  <c r="C125" i="1"/>
  <c r="D125" i="1"/>
  <c r="E125" i="1"/>
  <c r="F125" i="1"/>
  <c r="G125" i="1"/>
  <c r="H125" i="1"/>
  <c r="I125" i="1"/>
  <c r="J125" i="1"/>
  <c r="K125" i="1"/>
  <c r="B126" i="1"/>
  <c r="C126" i="1"/>
  <c r="D126" i="1"/>
  <c r="E126" i="1"/>
  <c r="F126" i="1"/>
  <c r="G126" i="1"/>
  <c r="H126" i="1"/>
  <c r="I126" i="1"/>
  <c r="J126" i="1"/>
  <c r="K126" i="1"/>
  <c r="B127" i="1"/>
  <c r="C127" i="1"/>
  <c r="D127" i="1"/>
  <c r="E127" i="1"/>
  <c r="F127" i="1"/>
  <c r="G127" i="1"/>
  <c r="H127" i="1"/>
  <c r="I127" i="1"/>
  <c r="J127" i="1"/>
  <c r="K127" i="1"/>
  <c r="B128" i="1"/>
  <c r="C128" i="1"/>
  <c r="D128" i="1"/>
  <c r="E128" i="1"/>
  <c r="F128" i="1"/>
  <c r="G128" i="1"/>
  <c r="H128" i="1"/>
  <c r="I128" i="1"/>
  <c r="J128" i="1"/>
  <c r="K128" i="1"/>
  <c r="B129" i="1"/>
  <c r="C129" i="1"/>
  <c r="D129" i="1"/>
  <c r="E129" i="1"/>
  <c r="F129" i="1"/>
  <c r="G129" i="1"/>
  <c r="H129" i="1"/>
  <c r="I129" i="1"/>
  <c r="J129" i="1"/>
  <c r="K129" i="1"/>
  <c r="B130" i="1"/>
  <c r="C130" i="1"/>
  <c r="D130" i="1"/>
  <c r="E130" i="1"/>
  <c r="F130" i="1"/>
  <c r="G130" i="1"/>
  <c r="H130" i="1"/>
  <c r="I130" i="1"/>
  <c r="J130" i="1"/>
  <c r="K130" i="1"/>
  <c r="B131" i="1"/>
  <c r="C131" i="1"/>
  <c r="D131" i="1"/>
  <c r="E131" i="1"/>
  <c r="F131" i="1"/>
  <c r="G131" i="1"/>
  <c r="H131" i="1"/>
  <c r="I131" i="1"/>
  <c r="J131" i="1"/>
  <c r="K131" i="1"/>
  <c r="B132" i="1"/>
  <c r="C132" i="1"/>
  <c r="D132" i="1"/>
  <c r="E132" i="1"/>
  <c r="F132" i="1"/>
  <c r="G132" i="1"/>
  <c r="H132" i="1"/>
  <c r="I132" i="1"/>
  <c r="J132" i="1"/>
  <c r="K132" i="1"/>
  <c r="B133" i="1"/>
  <c r="C133" i="1"/>
  <c r="D133" i="1"/>
  <c r="E133" i="1"/>
  <c r="F133" i="1"/>
  <c r="G133" i="1"/>
  <c r="H133" i="1"/>
  <c r="I133" i="1"/>
  <c r="J133" i="1"/>
  <c r="K133" i="1"/>
  <c r="B134" i="1"/>
  <c r="C134" i="1"/>
  <c r="D134" i="1"/>
  <c r="E134" i="1"/>
  <c r="F134" i="1"/>
  <c r="G134" i="1"/>
  <c r="H134" i="1"/>
  <c r="I134" i="1"/>
  <c r="J134" i="1"/>
  <c r="K134" i="1"/>
  <c r="B135" i="1"/>
  <c r="C135" i="1"/>
  <c r="D135" i="1"/>
  <c r="E135" i="1"/>
  <c r="F135" i="1"/>
  <c r="G135" i="1"/>
  <c r="H135" i="1"/>
  <c r="I135" i="1"/>
  <c r="J135" i="1"/>
  <c r="K135" i="1"/>
  <c r="B136" i="1"/>
  <c r="C136" i="1"/>
  <c r="D136" i="1"/>
  <c r="E136" i="1"/>
  <c r="F136" i="1"/>
  <c r="G136" i="1"/>
  <c r="H136" i="1"/>
  <c r="I136" i="1"/>
  <c r="J136" i="1"/>
  <c r="K136" i="1"/>
  <c r="B137" i="1"/>
  <c r="C137" i="1"/>
  <c r="D137" i="1"/>
  <c r="E137" i="1"/>
  <c r="F137" i="1"/>
  <c r="G137" i="1"/>
  <c r="H137" i="1"/>
  <c r="I137" i="1"/>
  <c r="J137" i="1"/>
  <c r="K137" i="1"/>
  <c r="B138" i="1"/>
  <c r="C138" i="1"/>
  <c r="D138" i="1"/>
  <c r="E138" i="1"/>
  <c r="F138" i="1"/>
  <c r="G138" i="1"/>
  <c r="H138" i="1"/>
  <c r="I138" i="1"/>
  <c r="J138" i="1"/>
  <c r="K138" i="1"/>
  <c r="B139" i="1"/>
  <c r="C139" i="1"/>
  <c r="D139" i="1"/>
  <c r="E139" i="1"/>
  <c r="F139" i="1"/>
  <c r="G139" i="1"/>
  <c r="H139" i="1"/>
  <c r="I139" i="1"/>
  <c r="J139" i="1"/>
  <c r="K139" i="1"/>
  <c r="B140" i="1"/>
  <c r="C140" i="1"/>
  <c r="D140" i="1"/>
  <c r="E140" i="1"/>
  <c r="F140" i="1"/>
  <c r="G140" i="1"/>
  <c r="H140" i="1"/>
  <c r="I140" i="1"/>
  <c r="J140" i="1"/>
  <c r="K140" i="1"/>
  <c r="B141" i="1"/>
  <c r="C141" i="1"/>
  <c r="D141" i="1"/>
  <c r="E141" i="1"/>
  <c r="F141" i="1"/>
  <c r="G141" i="1"/>
  <c r="H141" i="1"/>
  <c r="I141" i="1"/>
  <c r="J141" i="1"/>
  <c r="K141" i="1"/>
  <c r="B142" i="1"/>
  <c r="C142" i="1"/>
  <c r="D142" i="1"/>
  <c r="E142" i="1"/>
  <c r="F142" i="1"/>
  <c r="G142" i="1"/>
  <c r="H142" i="1"/>
  <c r="I142" i="1"/>
  <c r="J142" i="1"/>
  <c r="K142" i="1"/>
  <c r="B143" i="1"/>
  <c r="C143" i="1"/>
  <c r="D143" i="1"/>
  <c r="E143" i="1"/>
  <c r="F143" i="1"/>
  <c r="G143" i="1"/>
  <c r="H143" i="1"/>
  <c r="I143" i="1"/>
  <c r="J143" i="1"/>
  <c r="K143" i="1"/>
  <c r="B144" i="1"/>
  <c r="C144" i="1"/>
  <c r="D144" i="1"/>
  <c r="E144" i="1"/>
  <c r="F144" i="1"/>
  <c r="G144" i="1"/>
  <c r="H144" i="1"/>
  <c r="I144" i="1"/>
  <c r="J144" i="1"/>
  <c r="K144" i="1"/>
  <c r="B145" i="1"/>
  <c r="C145" i="1"/>
  <c r="D145" i="1"/>
  <c r="E145" i="1"/>
  <c r="F145" i="1"/>
  <c r="G145" i="1"/>
  <c r="H145" i="1"/>
  <c r="I145" i="1"/>
  <c r="J145" i="1"/>
  <c r="K145" i="1"/>
  <c r="B146" i="1"/>
  <c r="C146" i="1"/>
  <c r="D146" i="1"/>
  <c r="E146" i="1"/>
  <c r="F146" i="1"/>
  <c r="G146" i="1"/>
  <c r="H146" i="1"/>
  <c r="I146" i="1"/>
  <c r="J146" i="1"/>
  <c r="K146" i="1"/>
  <c r="B147" i="1"/>
  <c r="C147" i="1"/>
  <c r="D147" i="1"/>
  <c r="E147" i="1"/>
  <c r="F147" i="1"/>
  <c r="G147" i="1"/>
  <c r="H147" i="1"/>
  <c r="I147" i="1"/>
  <c r="J147" i="1"/>
  <c r="K147" i="1"/>
  <c r="B148" i="1"/>
  <c r="C148" i="1"/>
  <c r="D148" i="1"/>
  <c r="E148" i="1"/>
  <c r="F148" i="1"/>
  <c r="G148" i="1"/>
  <c r="H148" i="1"/>
  <c r="I148" i="1"/>
  <c r="J148" i="1"/>
  <c r="K148" i="1"/>
  <c r="B149" i="1"/>
  <c r="C149" i="1"/>
  <c r="D149" i="1"/>
  <c r="E149" i="1"/>
  <c r="F149" i="1"/>
  <c r="G149" i="1"/>
  <c r="H149" i="1"/>
  <c r="I149" i="1"/>
  <c r="J149" i="1"/>
  <c r="K149" i="1"/>
  <c r="B150" i="1"/>
  <c r="C150" i="1"/>
  <c r="D150" i="1"/>
  <c r="E150" i="1"/>
  <c r="F150" i="1"/>
  <c r="G150" i="1"/>
  <c r="H150" i="1"/>
  <c r="I150" i="1"/>
  <c r="J150" i="1"/>
  <c r="K150" i="1"/>
  <c r="B151" i="1"/>
  <c r="C151" i="1"/>
  <c r="D151" i="1"/>
  <c r="E151" i="1"/>
  <c r="F151" i="1"/>
  <c r="G151" i="1"/>
  <c r="H151" i="1"/>
  <c r="I151" i="1"/>
  <c r="J151" i="1"/>
  <c r="K151" i="1"/>
  <c r="B152" i="1"/>
  <c r="C152" i="1"/>
  <c r="D152" i="1"/>
  <c r="E152" i="1"/>
  <c r="F152" i="1"/>
  <c r="G152" i="1"/>
  <c r="H152" i="1"/>
  <c r="I152" i="1"/>
  <c r="J152" i="1"/>
  <c r="K152" i="1"/>
  <c r="B153" i="1"/>
  <c r="C153" i="1"/>
  <c r="D153" i="1"/>
  <c r="E153" i="1"/>
  <c r="F153" i="1"/>
  <c r="G153" i="1"/>
  <c r="H153" i="1"/>
  <c r="I153" i="1"/>
  <c r="J153" i="1"/>
  <c r="K153" i="1"/>
  <c r="B154" i="1"/>
  <c r="C154" i="1"/>
  <c r="D154" i="1"/>
  <c r="E154" i="1"/>
  <c r="F154" i="1"/>
  <c r="G154" i="1"/>
  <c r="H154" i="1"/>
  <c r="I154" i="1"/>
  <c r="J154" i="1"/>
  <c r="K154" i="1"/>
  <c r="B155" i="1"/>
  <c r="C155" i="1"/>
  <c r="D155" i="1"/>
  <c r="E155" i="1"/>
  <c r="F155" i="1"/>
  <c r="G155" i="1"/>
  <c r="H155" i="1"/>
  <c r="I155" i="1"/>
  <c r="J155" i="1"/>
  <c r="K155" i="1"/>
  <c r="B156" i="1"/>
  <c r="C156" i="1"/>
  <c r="D156" i="1"/>
  <c r="E156" i="1"/>
  <c r="F156" i="1"/>
  <c r="G156" i="1"/>
  <c r="H156" i="1"/>
  <c r="I156" i="1"/>
  <c r="J156" i="1"/>
  <c r="K156" i="1"/>
  <c r="B157" i="1"/>
  <c r="C157" i="1"/>
  <c r="D157" i="1"/>
  <c r="E157" i="1"/>
  <c r="F157" i="1"/>
  <c r="G157" i="1"/>
  <c r="H157" i="1"/>
  <c r="I157" i="1"/>
  <c r="J157" i="1"/>
  <c r="K157" i="1"/>
  <c r="B158" i="1"/>
  <c r="C158" i="1"/>
  <c r="D158" i="1"/>
  <c r="E158" i="1"/>
  <c r="F158" i="1"/>
  <c r="G158" i="1"/>
  <c r="H158" i="1"/>
  <c r="I158" i="1"/>
  <c r="J158" i="1"/>
  <c r="K158" i="1"/>
  <c r="B159" i="1"/>
  <c r="C159" i="1"/>
  <c r="D159" i="1"/>
  <c r="E159" i="1"/>
  <c r="F159" i="1"/>
  <c r="G159" i="1"/>
  <c r="H159" i="1"/>
  <c r="I159" i="1"/>
  <c r="J159" i="1"/>
  <c r="K159" i="1"/>
  <c r="B160" i="1"/>
  <c r="C160" i="1"/>
  <c r="D160" i="1"/>
  <c r="E160" i="1"/>
  <c r="F160" i="1"/>
  <c r="G160" i="1"/>
  <c r="H160" i="1"/>
  <c r="I160" i="1"/>
  <c r="J160" i="1"/>
  <c r="K160" i="1"/>
  <c r="B161" i="1"/>
  <c r="C161" i="1"/>
  <c r="D161" i="1"/>
  <c r="E161" i="1"/>
  <c r="F161" i="1"/>
  <c r="G161" i="1"/>
  <c r="H161" i="1"/>
  <c r="I161" i="1"/>
  <c r="J161" i="1"/>
  <c r="K161" i="1"/>
  <c r="B162" i="1"/>
  <c r="C162" i="1"/>
  <c r="D162" i="1"/>
  <c r="E162" i="1"/>
  <c r="F162" i="1"/>
  <c r="G162" i="1"/>
  <c r="H162" i="1"/>
  <c r="I162" i="1"/>
  <c r="J162" i="1"/>
  <c r="K162" i="1"/>
  <c r="B163" i="1"/>
  <c r="C163" i="1"/>
  <c r="D163" i="1"/>
  <c r="E163" i="1"/>
  <c r="F163" i="1"/>
  <c r="G163" i="1"/>
  <c r="H163" i="1"/>
  <c r="I163" i="1"/>
  <c r="J163" i="1"/>
  <c r="K163" i="1"/>
  <c r="B164" i="1"/>
  <c r="C164" i="1"/>
  <c r="D164" i="1"/>
  <c r="E164" i="1"/>
  <c r="F164" i="1"/>
  <c r="G164" i="1"/>
  <c r="H164" i="1"/>
  <c r="I164" i="1"/>
  <c r="J164" i="1"/>
  <c r="K164" i="1"/>
  <c r="B165" i="1"/>
  <c r="C165" i="1"/>
  <c r="D165" i="1"/>
  <c r="E165" i="1"/>
  <c r="F165" i="1"/>
  <c r="G165" i="1"/>
  <c r="H165" i="1"/>
  <c r="I165" i="1"/>
  <c r="J165" i="1"/>
  <c r="K165" i="1"/>
  <c r="B166" i="1"/>
  <c r="C166" i="1"/>
  <c r="D166" i="1"/>
  <c r="E166" i="1"/>
  <c r="F166" i="1"/>
  <c r="G166" i="1"/>
  <c r="H166" i="1"/>
  <c r="I166" i="1"/>
  <c r="J166" i="1"/>
  <c r="K166" i="1"/>
  <c r="B167" i="1"/>
  <c r="C167" i="1"/>
  <c r="D167" i="1"/>
  <c r="E167" i="1"/>
  <c r="F167" i="1"/>
  <c r="G167" i="1"/>
  <c r="H167" i="1"/>
  <c r="I167" i="1"/>
  <c r="J167" i="1"/>
  <c r="K167" i="1"/>
  <c r="B168" i="1"/>
  <c r="C168" i="1"/>
  <c r="D168" i="1"/>
  <c r="E168" i="1"/>
  <c r="F168" i="1"/>
  <c r="G168" i="1"/>
  <c r="H168" i="1"/>
  <c r="I168" i="1"/>
  <c r="J168" i="1"/>
  <c r="K168" i="1"/>
  <c r="B169" i="1"/>
  <c r="C169" i="1"/>
  <c r="D169" i="1"/>
  <c r="E169" i="1"/>
  <c r="F169" i="1"/>
  <c r="G169" i="1"/>
  <c r="H169" i="1"/>
  <c r="I169" i="1"/>
  <c r="J169" i="1"/>
  <c r="K169" i="1"/>
  <c r="B170" i="1"/>
  <c r="C170" i="1"/>
  <c r="D170" i="1"/>
  <c r="E170" i="1"/>
  <c r="F170" i="1"/>
  <c r="G170" i="1"/>
  <c r="H170" i="1"/>
  <c r="I170" i="1"/>
  <c r="J170" i="1"/>
  <c r="K170" i="1"/>
  <c r="B171" i="1"/>
  <c r="C171" i="1"/>
  <c r="D171" i="1"/>
  <c r="E171" i="1"/>
  <c r="F171" i="1"/>
  <c r="G171" i="1"/>
  <c r="H171" i="1"/>
  <c r="I171" i="1"/>
  <c r="J171" i="1"/>
  <c r="K171" i="1"/>
  <c r="B172" i="1"/>
  <c r="C172" i="1"/>
  <c r="D172" i="1"/>
  <c r="E172" i="1"/>
  <c r="F172" i="1"/>
  <c r="G172" i="1"/>
  <c r="H172" i="1"/>
  <c r="I172" i="1"/>
  <c r="J172" i="1"/>
  <c r="K172" i="1"/>
  <c r="B173" i="1"/>
  <c r="C173" i="1"/>
  <c r="D173" i="1"/>
  <c r="E173" i="1"/>
  <c r="F173" i="1"/>
  <c r="G173" i="1"/>
  <c r="H173" i="1"/>
  <c r="I173" i="1"/>
  <c r="J173" i="1"/>
  <c r="K173" i="1"/>
  <c r="B174" i="1"/>
  <c r="C174" i="1"/>
  <c r="D174" i="1"/>
  <c r="E174" i="1"/>
  <c r="F174" i="1"/>
  <c r="G174" i="1"/>
  <c r="H174" i="1"/>
  <c r="I174" i="1"/>
  <c r="J174" i="1"/>
  <c r="K174" i="1"/>
  <c r="B175" i="1"/>
  <c r="C175" i="1"/>
  <c r="D175" i="1"/>
  <c r="E175" i="1"/>
  <c r="F175" i="1"/>
  <c r="G175" i="1"/>
  <c r="H175" i="1"/>
  <c r="I175" i="1"/>
  <c r="J175" i="1"/>
  <c r="K175" i="1"/>
  <c r="B176" i="1"/>
  <c r="C176" i="1"/>
  <c r="D176" i="1"/>
  <c r="E176" i="1"/>
  <c r="F176" i="1"/>
  <c r="G176" i="1"/>
  <c r="H176" i="1"/>
  <c r="I176" i="1"/>
  <c r="J176" i="1"/>
  <c r="K176" i="1"/>
  <c r="B177" i="1"/>
  <c r="C177" i="1"/>
  <c r="D177" i="1"/>
  <c r="E177" i="1"/>
  <c r="F177" i="1"/>
  <c r="G177" i="1"/>
  <c r="H177" i="1"/>
  <c r="I177" i="1"/>
  <c r="J177" i="1"/>
  <c r="K177" i="1"/>
  <c r="B178" i="1"/>
  <c r="C178" i="1"/>
  <c r="D178" i="1"/>
  <c r="E178" i="1"/>
  <c r="F178" i="1"/>
  <c r="G178" i="1"/>
  <c r="H178" i="1"/>
  <c r="I178" i="1"/>
  <c r="J178" i="1"/>
  <c r="K178" i="1"/>
  <c r="B179" i="1"/>
  <c r="C179" i="1"/>
  <c r="D179" i="1"/>
  <c r="E179" i="1"/>
  <c r="F179" i="1"/>
  <c r="G179" i="1"/>
  <c r="H179" i="1"/>
  <c r="I179" i="1"/>
  <c r="J179" i="1"/>
  <c r="K179" i="1"/>
  <c r="B180" i="1"/>
  <c r="C180" i="1"/>
  <c r="D180" i="1"/>
  <c r="E180" i="1"/>
  <c r="F180" i="1"/>
  <c r="G180" i="1"/>
  <c r="H180" i="1"/>
  <c r="I180" i="1"/>
  <c r="J180" i="1"/>
  <c r="K180" i="1"/>
  <c r="B181" i="1"/>
  <c r="C181" i="1"/>
  <c r="D181" i="1"/>
  <c r="E181" i="1"/>
  <c r="F181" i="1"/>
  <c r="G181" i="1"/>
  <c r="H181" i="1"/>
  <c r="I181" i="1"/>
  <c r="J181" i="1"/>
  <c r="K181" i="1"/>
  <c r="B182" i="1"/>
  <c r="C182" i="1"/>
  <c r="D182" i="1"/>
  <c r="E182" i="1"/>
  <c r="F182" i="1"/>
  <c r="G182" i="1"/>
  <c r="H182" i="1"/>
  <c r="I182" i="1"/>
  <c r="J182" i="1"/>
  <c r="K182" i="1"/>
  <c r="B183" i="1"/>
  <c r="C183" i="1"/>
  <c r="D183" i="1"/>
  <c r="E183" i="1"/>
  <c r="F183" i="1"/>
  <c r="G183" i="1"/>
  <c r="H183" i="1"/>
  <c r="I183" i="1"/>
  <c r="J183" i="1"/>
  <c r="K183" i="1"/>
  <c r="B184" i="1"/>
  <c r="C184" i="1"/>
  <c r="D184" i="1"/>
  <c r="E184" i="1"/>
  <c r="F184" i="1"/>
  <c r="G184" i="1"/>
  <c r="H184" i="1"/>
  <c r="I184" i="1"/>
  <c r="J184" i="1"/>
  <c r="K184" i="1"/>
  <c r="B185" i="1"/>
  <c r="C185" i="1"/>
  <c r="D185" i="1"/>
  <c r="E185" i="1"/>
  <c r="F185" i="1"/>
  <c r="G185" i="1"/>
  <c r="H185" i="1"/>
  <c r="I185" i="1"/>
  <c r="J185" i="1"/>
  <c r="K185" i="1"/>
  <c r="B186" i="1"/>
  <c r="C186" i="1"/>
  <c r="D186" i="1"/>
  <c r="E186" i="1"/>
  <c r="F186" i="1"/>
  <c r="G186" i="1"/>
  <c r="H186" i="1"/>
  <c r="I186" i="1"/>
  <c r="J186" i="1"/>
  <c r="K186" i="1"/>
  <c r="B187" i="1"/>
  <c r="C187" i="1"/>
  <c r="D187" i="1"/>
  <c r="E187" i="1"/>
  <c r="F187" i="1"/>
  <c r="G187" i="1"/>
  <c r="H187" i="1"/>
  <c r="I187" i="1"/>
  <c r="J187" i="1"/>
  <c r="K187" i="1"/>
  <c r="B188" i="1"/>
  <c r="C188" i="1"/>
  <c r="D188" i="1"/>
  <c r="E188" i="1"/>
  <c r="F188" i="1"/>
  <c r="G188" i="1"/>
  <c r="H188" i="1"/>
  <c r="I188" i="1"/>
  <c r="J188" i="1"/>
  <c r="K188" i="1"/>
  <c r="B189" i="1"/>
  <c r="C189" i="1"/>
  <c r="D189" i="1"/>
  <c r="E189" i="1"/>
  <c r="F189" i="1"/>
  <c r="G189" i="1"/>
  <c r="H189" i="1"/>
  <c r="I189" i="1"/>
  <c r="J189" i="1"/>
  <c r="K189" i="1"/>
  <c r="B190" i="1"/>
  <c r="C190" i="1"/>
  <c r="D190" i="1"/>
  <c r="E190" i="1"/>
  <c r="F190" i="1"/>
  <c r="G190" i="1"/>
  <c r="H190" i="1"/>
  <c r="I190" i="1"/>
  <c r="J190" i="1"/>
  <c r="K190" i="1"/>
  <c r="B191" i="1"/>
  <c r="C191" i="1"/>
  <c r="D191" i="1"/>
  <c r="E191" i="1"/>
  <c r="F191" i="1"/>
  <c r="G191" i="1"/>
  <c r="H191" i="1"/>
  <c r="I191" i="1"/>
  <c r="J191" i="1"/>
  <c r="K191" i="1"/>
  <c r="B192" i="1"/>
  <c r="C192" i="1"/>
  <c r="D192" i="1"/>
  <c r="E192" i="1"/>
  <c r="F192" i="1"/>
  <c r="G192" i="1"/>
  <c r="H192" i="1"/>
  <c r="I192" i="1"/>
  <c r="J192" i="1"/>
  <c r="K192" i="1"/>
  <c r="B193" i="1"/>
  <c r="C193" i="1"/>
  <c r="D193" i="1"/>
  <c r="E193" i="1"/>
  <c r="F193" i="1"/>
  <c r="G193" i="1"/>
  <c r="H193" i="1"/>
  <c r="I193" i="1"/>
  <c r="J193" i="1"/>
  <c r="K193" i="1"/>
  <c r="B194" i="1"/>
  <c r="C194" i="1"/>
  <c r="D194" i="1"/>
  <c r="E194" i="1"/>
  <c r="F194" i="1"/>
  <c r="G194" i="1"/>
  <c r="H194" i="1"/>
  <c r="I194" i="1"/>
  <c r="J194" i="1"/>
  <c r="K194" i="1"/>
  <c r="B195" i="1"/>
  <c r="C195" i="1"/>
  <c r="D195" i="1"/>
  <c r="E195" i="1"/>
  <c r="F195" i="1"/>
  <c r="G195" i="1"/>
  <c r="H195" i="1"/>
  <c r="I195" i="1"/>
  <c r="J195" i="1"/>
  <c r="K195" i="1"/>
  <c r="B196" i="1"/>
  <c r="C196" i="1"/>
  <c r="D196" i="1"/>
  <c r="E196" i="1"/>
  <c r="F196" i="1"/>
  <c r="G196" i="1"/>
  <c r="H196" i="1"/>
  <c r="I196" i="1"/>
  <c r="J196" i="1"/>
  <c r="K196" i="1"/>
  <c r="B197" i="1"/>
  <c r="C197" i="1"/>
  <c r="D197" i="1"/>
  <c r="E197" i="1"/>
  <c r="F197" i="1"/>
  <c r="G197" i="1"/>
  <c r="H197" i="1"/>
  <c r="I197" i="1"/>
  <c r="J197" i="1"/>
  <c r="K197" i="1"/>
  <c r="B198" i="1"/>
  <c r="C198" i="1"/>
  <c r="D198" i="1"/>
  <c r="E198" i="1"/>
  <c r="F198" i="1"/>
  <c r="G198" i="1"/>
  <c r="H198" i="1"/>
  <c r="I198" i="1"/>
  <c r="J198" i="1"/>
  <c r="K198" i="1"/>
  <c r="B199" i="1"/>
  <c r="C199" i="1"/>
  <c r="D199" i="1"/>
  <c r="E199" i="1"/>
  <c r="F199" i="1"/>
  <c r="G199" i="1"/>
  <c r="H199" i="1"/>
  <c r="I199" i="1"/>
  <c r="J199" i="1"/>
  <c r="K199" i="1"/>
  <c r="B200" i="1"/>
  <c r="C200" i="1"/>
  <c r="D200" i="1"/>
  <c r="E200" i="1"/>
  <c r="F200" i="1"/>
  <c r="G200" i="1"/>
  <c r="H200" i="1"/>
  <c r="I200" i="1"/>
  <c r="J200" i="1"/>
  <c r="K200" i="1"/>
  <c r="B201" i="1"/>
  <c r="C201" i="1"/>
  <c r="D201" i="1"/>
  <c r="E201" i="1"/>
  <c r="F201" i="1"/>
  <c r="G201" i="1"/>
  <c r="H201" i="1"/>
  <c r="I201" i="1"/>
  <c r="J201" i="1"/>
  <c r="K201" i="1"/>
  <c r="B202" i="1"/>
  <c r="C202" i="1"/>
  <c r="D202" i="1"/>
  <c r="E202" i="1"/>
  <c r="F202" i="1"/>
  <c r="G202" i="1"/>
  <c r="H202" i="1"/>
  <c r="I202" i="1"/>
  <c r="J202" i="1"/>
  <c r="K202" i="1"/>
  <c r="B203" i="1"/>
  <c r="C203" i="1"/>
  <c r="D203" i="1"/>
  <c r="E203" i="1"/>
  <c r="F203" i="1"/>
  <c r="G203" i="1"/>
  <c r="H203" i="1"/>
  <c r="I203" i="1"/>
  <c r="J203" i="1"/>
  <c r="K203" i="1"/>
  <c r="B204" i="1"/>
  <c r="C204" i="1"/>
  <c r="D204" i="1"/>
  <c r="E204" i="1"/>
  <c r="F204" i="1"/>
  <c r="G204" i="1"/>
  <c r="H204" i="1"/>
  <c r="I204" i="1"/>
  <c r="J204" i="1"/>
  <c r="K204" i="1"/>
  <c r="B205" i="1"/>
  <c r="C205" i="1"/>
  <c r="D205" i="1"/>
  <c r="E205" i="1"/>
  <c r="F205" i="1"/>
  <c r="G205" i="1"/>
  <c r="H205" i="1"/>
  <c r="I205" i="1"/>
  <c r="J205" i="1"/>
  <c r="K205" i="1"/>
  <c r="B206" i="1"/>
  <c r="C206" i="1"/>
  <c r="D206" i="1"/>
  <c r="E206" i="1"/>
  <c r="F206" i="1"/>
  <c r="G206" i="1"/>
  <c r="H206" i="1"/>
  <c r="I206" i="1"/>
  <c r="J206" i="1"/>
  <c r="K206" i="1"/>
  <c r="B207" i="1"/>
  <c r="C207" i="1"/>
  <c r="D207" i="1"/>
  <c r="E207" i="1"/>
  <c r="F207" i="1"/>
  <c r="G207" i="1"/>
  <c r="H207" i="1"/>
  <c r="I207" i="1"/>
  <c r="J207" i="1"/>
  <c r="K207" i="1"/>
  <c r="B208" i="1"/>
  <c r="C208" i="1"/>
  <c r="D208" i="1"/>
  <c r="E208" i="1"/>
  <c r="F208" i="1"/>
  <c r="G208" i="1"/>
  <c r="H208" i="1"/>
  <c r="I208" i="1"/>
  <c r="J208" i="1"/>
  <c r="K208" i="1"/>
  <c r="B209" i="1"/>
  <c r="C209" i="1"/>
  <c r="D209" i="1"/>
  <c r="E209" i="1"/>
  <c r="F209" i="1"/>
  <c r="G209" i="1"/>
  <c r="H209" i="1"/>
  <c r="I209" i="1"/>
  <c r="J209" i="1"/>
  <c r="K209" i="1"/>
  <c r="B210" i="1"/>
  <c r="C210" i="1"/>
  <c r="D210" i="1"/>
  <c r="E210" i="1"/>
  <c r="F210" i="1"/>
  <c r="G210" i="1"/>
  <c r="H210" i="1"/>
  <c r="I210" i="1"/>
  <c r="J210" i="1"/>
  <c r="K210" i="1"/>
  <c r="B211" i="1"/>
  <c r="C211" i="1"/>
  <c r="D211" i="1"/>
  <c r="E211" i="1"/>
  <c r="F211" i="1"/>
  <c r="G211" i="1"/>
  <c r="H211" i="1"/>
  <c r="I211" i="1"/>
  <c r="J211" i="1"/>
  <c r="K211" i="1"/>
  <c r="B212" i="1"/>
  <c r="C212" i="1"/>
  <c r="D212" i="1"/>
  <c r="E212" i="1"/>
  <c r="F212" i="1"/>
  <c r="G212" i="1"/>
  <c r="H212" i="1"/>
  <c r="I212" i="1"/>
  <c r="J212" i="1"/>
  <c r="K212" i="1"/>
  <c r="B213" i="1"/>
  <c r="C213" i="1"/>
  <c r="D213" i="1"/>
  <c r="E213" i="1"/>
  <c r="F213" i="1"/>
  <c r="G213" i="1"/>
  <c r="H213" i="1"/>
  <c r="I213" i="1"/>
  <c r="J213" i="1"/>
  <c r="K213" i="1"/>
  <c r="B214" i="1"/>
  <c r="C214" i="1"/>
  <c r="D214" i="1"/>
  <c r="E214" i="1"/>
  <c r="F214" i="1"/>
  <c r="G214" i="1"/>
  <c r="H214" i="1"/>
  <c r="I214" i="1"/>
  <c r="J214" i="1"/>
  <c r="K214" i="1"/>
  <c r="B215" i="1"/>
  <c r="C215" i="1"/>
  <c r="D215" i="1"/>
  <c r="E215" i="1"/>
  <c r="F215" i="1"/>
  <c r="G215" i="1"/>
  <c r="H215" i="1"/>
  <c r="I215" i="1"/>
  <c r="J215" i="1"/>
  <c r="K215" i="1"/>
  <c r="B216" i="1"/>
  <c r="C216" i="1"/>
  <c r="D216" i="1"/>
  <c r="E216" i="1"/>
  <c r="F216" i="1"/>
  <c r="G216" i="1"/>
  <c r="H216" i="1"/>
  <c r="I216" i="1"/>
  <c r="J216" i="1"/>
  <c r="K216" i="1"/>
  <c r="B217" i="1"/>
  <c r="C217" i="1"/>
  <c r="D217" i="1"/>
  <c r="E217" i="1"/>
  <c r="F217" i="1"/>
  <c r="G217" i="1"/>
  <c r="H217" i="1"/>
  <c r="I217" i="1"/>
  <c r="J217" i="1"/>
  <c r="K217" i="1"/>
  <c r="B218" i="1"/>
  <c r="C218" i="1"/>
  <c r="D218" i="1"/>
  <c r="E218" i="1"/>
  <c r="F218" i="1"/>
  <c r="G218" i="1"/>
  <c r="H218" i="1"/>
  <c r="I218" i="1"/>
  <c r="J218" i="1"/>
  <c r="K218" i="1"/>
  <c r="B219" i="1"/>
  <c r="C219" i="1"/>
  <c r="D219" i="1"/>
  <c r="E219" i="1"/>
  <c r="F219" i="1"/>
  <c r="G219" i="1"/>
  <c r="H219" i="1"/>
  <c r="I219" i="1"/>
  <c r="J219" i="1"/>
  <c r="K219" i="1"/>
  <c r="B220" i="1"/>
  <c r="C220" i="1"/>
  <c r="D220" i="1"/>
  <c r="E220" i="1"/>
  <c r="F220" i="1"/>
  <c r="G220" i="1"/>
  <c r="H220" i="1"/>
  <c r="I220" i="1"/>
  <c r="J220" i="1"/>
  <c r="K220" i="1"/>
  <c r="B221" i="1"/>
  <c r="C221" i="1"/>
  <c r="D221" i="1"/>
  <c r="E221" i="1"/>
  <c r="F221" i="1"/>
  <c r="G221" i="1"/>
  <c r="H221" i="1"/>
  <c r="I221" i="1"/>
  <c r="J221" i="1"/>
  <c r="K221" i="1"/>
  <c r="B222" i="1"/>
  <c r="C222" i="1"/>
  <c r="D222" i="1"/>
  <c r="E222" i="1"/>
  <c r="F222" i="1"/>
  <c r="G222" i="1"/>
  <c r="H222" i="1"/>
  <c r="I222" i="1"/>
  <c r="J222" i="1"/>
  <c r="K222" i="1"/>
  <c r="B223" i="1"/>
  <c r="C223" i="1"/>
  <c r="D223" i="1"/>
  <c r="E223" i="1"/>
  <c r="F223" i="1"/>
  <c r="G223" i="1"/>
  <c r="H223" i="1"/>
  <c r="I223" i="1"/>
  <c r="J223" i="1"/>
  <c r="K223" i="1"/>
  <c r="B224" i="1"/>
  <c r="C224" i="1"/>
  <c r="D224" i="1"/>
  <c r="E224" i="1"/>
  <c r="F224" i="1"/>
  <c r="G224" i="1"/>
  <c r="H224" i="1"/>
  <c r="I224" i="1"/>
  <c r="J224" i="1"/>
  <c r="K224" i="1"/>
  <c r="B225" i="1"/>
  <c r="C225" i="1"/>
  <c r="D225" i="1"/>
  <c r="E225" i="1"/>
  <c r="F225" i="1"/>
  <c r="G225" i="1"/>
  <c r="H225" i="1"/>
  <c r="I225" i="1"/>
  <c r="J225" i="1"/>
  <c r="K225" i="1"/>
  <c r="B226" i="1"/>
  <c r="C226" i="1"/>
  <c r="D226" i="1"/>
  <c r="E226" i="1"/>
  <c r="F226" i="1"/>
  <c r="G226" i="1"/>
  <c r="H226" i="1"/>
  <c r="I226" i="1"/>
  <c r="J226" i="1"/>
  <c r="K226" i="1"/>
  <c r="B227" i="1"/>
  <c r="C227" i="1"/>
  <c r="D227" i="1"/>
  <c r="E227" i="1"/>
  <c r="F227" i="1"/>
  <c r="G227" i="1"/>
  <c r="H227" i="1"/>
  <c r="I227" i="1"/>
  <c r="J227" i="1"/>
  <c r="K227" i="1"/>
  <c r="B228" i="1"/>
  <c r="C228" i="1"/>
  <c r="D228" i="1"/>
  <c r="E228" i="1"/>
  <c r="F228" i="1"/>
  <c r="G228" i="1"/>
  <c r="H228" i="1"/>
  <c r="I228" i="1"/>
  <c r="J228" i="1"/>
  <c r="K228" i="1"/>
  <c r="B229" i="1"/>
  <c r="C229" i="1"/>
  <c r="D229" i="1"/>
  <c r="E229" i="1"/>
  <c r="F229" i="1"/>
  <c r="G229" i="1"/>
  <c r="H229" i="1"/>
  <c r="I229" i="1"/>
  <c r="J229" i="1"/>
  <c r="K229" i="1"/>
  <c r="B230" i="1"/>
  <c r="C230" i="1"/>
  <c r="D230" i="1"/>
  <c r="E230" i="1"/>
  <c r="F230" i="1"/>
  <c r="G230" i="1"/>
  <c r="H230" i="1"/>
  <c r="I230" i="1"/>
  <c r="J230" i="1"/>
  <c r="K230" i="1"/>
  <c r="B231" i="1"/>
  <c r="C231" i="1"/>
  <c r="D231" i="1"/>
  <c r="E231" i="1"/>
  <c r="F231" i="1"/>
  <c r="G231" i="1"/>
  <c r="H231" i="1"/>
  <c r="I231" i="1"/>
  <c r="J231" i="1"/>
  <c r="K231" i="1"/>
  <c r="B232" i="1"/>
  <c r="C232" i="1"/>
  <c r="D232" i="1"/>
  <c r="E232" i="1"/>
  <c r="F232" i="1"/>
  <c r="G232" i="1"/>
  <c r="H232" i="1"/>
  <c r="I232" i="1"/>
  <c r="J232" i="1"/>
  <c r="K232" i="1"/>
</calcChain>
</file>

<file path=xl/sharedStrings.xml><?xml version="1.0" encoding="utf-8"?>
<sst xmlns="http://schemas.openxmlformats.org/spreadsheetml/2006/main" count="377" uniqueCount="316">
  <si>
    <t>ELPW</t>
  </si>
  <si>
    <t>SST</t>
  </si>
  <si>
    <t>SES</t>
  </si>
  <si>
    <t>QS</t>
  </si>
  <si>
    <t>BMNU</t>
  </si>
  <si>
    <t>BURU</t>
  </si>
  <si>
    <t>AIXI</t>
  </si>
  <si>
    <t>AUUD</t>
  </si>
  <si>
    <t>MWYN</t>
  </si>
  <si>
    <t>NPT</t>
  </si>
  <si>
    <t>YCBD</t>
  </si>
  <si>
    <t>REPL</t>
  </si>
  <si>
    <t>CPIX</t>
  </si>
  <si>
    <t>AKAN</t>
  </si>
  <si>
    <t>PMEC</t>
  </si>
  <si>
    <t>TLRY</t>
  </si>
  <si>
    <t>GAME</t>
  </si>
  <si>
    <t>PAPL</t>
  </si>
  <si>
    <t>BULL</t>
  </si>
  <si>
    <t>BBAI</t>
  </si>
  <si>
    <t>MBLY</t>
  </si>
  <si>
    <t>ALT</t>
  </si>
  <si>
    <t>LOBO</t>
  </si>
  <si>
    <t>CMND</t>
  </si>
  <si>
    <t>SLNH</t>
  </si>
  <si>
    <t>BZAI</t>
  </si>
  <si>
    <t>AGPU</t>
  </si>
  <si>
    <t>HUBC</t>
  </si>
  <si>
    <t>KEEL</t>
  </si>
  <si>
    <t>PBM</t>
  </si>
  <si>
    <t>ASAN</t>
  </si>
  <si>
    <t>LAES</t>
  </si>
  <si>
    <t>HIVE</t>
  </si>
  <si>
    <t>WLDS</t>
  </si>
  <si>
    <t>RENX</t>
  </si>
  <si>
    <t>CURLF</t>
  </si>
  <si>
    <t>GSIT</t>
  </si>
  <si>
    <t>VRNO</t>
  </si>
  <si>
    <t>RECT</t>
  </si>
  <si>
    <t>CYH</t>
  </si>
  <si>
    <t>PD</t>
  </si>
  <si>
    <t>ROLR</t>
  </si>
  <si>
    <t>KOPN</t>
  </si>
  <si>
    <t>INDI</t>
  </si>
  <si>
    <t>TDIC</t>
  </si>
  <si>
    <t>ENVB</t>
  </si>
  <si>
    <t>SMX</t>
  </si>
  <si>
    <t>SIDU</t>
  </si>
  <si>
    <t>BATL</t>
  </si>
  <si>
    <t>INV</t>
  </si>
  <si>
    <t>KIDZ</t>
  </si>
  <si>
    <t>GLND</t>
  </si>
  <si>
    <t>ELAB</t>
  </si>
  <si>
    <t>IPW</t>
  </si>
  <si>
    <t>ANNA</t>
  </si>
  <si>
    <t>TMDE</t>
  </si>
  <si>
    <t>DOMO</t>
  </si>
  <si>
    <t>IBRX</t>
  </si>
  <si>
    <t>IMSR</t>
  </si>
  <si>
    <t>NUAI</t>
  </si>
  <si>
    <t>TRT</t>
  </si>
  <si>
    <t>TZOO</t>
  </si>
  <si>
    <t>HELE</t>
  </si>
  <si>
    <t>MNTS</t>
  </si>
  <si>
    <t>URI</t>
  </si>
  <si>
    <t>ASTI</t>
  </si>
  <si>
    <t>GSHD</t>
  </si>
  <si>
    <t>WST</t>
  </si>
  <si>
    <t>OKLO</t>
  </si>
  <si>
    <t>NOK</t>
  </si>
  <si>
    <t>RDY</t>
  </si>
  <si>
    <t>AMSC</t>
  </si>
  <si>
    <t>APLD</t>
  </si>
  <si>
    <t>PENN</t>
  </si>
  <si>
    <t>CMCSA</t>
  </si>
  <si>
    <t>SLDP</t>
  </si>
  <si>
    <t>MAPS</t>
  </si>
  <si>
    <t>BTM</t>
  </si>
  <si>
    <t>CSX</t>
  </si>
  <si>
    <t>ASGN</t>
  </si>
  <si>
    <t>NOWL</t>
  </si>
  <si>
    <t>KREF</t>
  </si>
  <si>
    <t>SMCX</t>
  </si>
  <si>
    <t>MEDP</t>
  </si>
  <si>
    <t>LPL</t>
  </si>
  <si>
    <t>SILO</t>
  </si>
  <si>
    <t>NOW</t>
  </si>
  <si>
    <t>SMCII</t>
  </si>
  <si>
    <t>NBBK</t>
  </si>
  <si>
    <t>AGAE</t>
  </si>
  <si>
    <t>CISS</t>
  </si>
  <si>
    <t>TEAM</t>
  </si>
  <si>
    <t>RDW</t>
  </si>
  <si>
    <t>LULU</t>
  </si>
  <si>
    <t>WDAY</t>
  </si>
  <si>
    <t>CRM</t>
  </si>
  <si>
    <t>FFAI</t>
  </si>
  <si>
    <t>XPEV</t>
  </si>
  <si>
    <t>TOON</t>
  </si>
  <si>
    <t>ZSPC</t>
  </si>
  <si>
    <t>BIYA</t>
  </si>
  <si>
    <t>RETO</t>
  </si>
  <si>
    <t>RPGL</t>
  </si>
  <si>
    <t>NMAX</t>
  </si>
  <si>
    <t>SLAI</t>
  </si>
  <si>
    <t>GSUN</t>
  </si>
  <si>
    <t>SATL</t>
  </si>
  <si>
    <t>LAC</t>
  </si>
  <si>
    <t>JZXN</t>
  </si>
  <si>
    <t>ORBS</t>
  </si>
  <si>
    <t>TE</t>
  </si>
  <si>
    <t>SRFM</t>
  </si>
  <si>
    <t>UAVS</t>
  </si>
  <si>
    <t>TRX</t>
  </si>
  <si>
    <t>SOUN</t>
  </si>
  <si>
    <t>BTBT</t>
  </si>
  <si>
    <t>OPEN</t>
  </si>
  <si>
    <t>EOSE</t>
  </si>
  <si>
    <t>RR</t>
  </si>
  <si>
    <t>PLUG</t>
  </si>
  <si>
    <t>JOBY</t>
  </si>
  <si>
    <t>ABTC</t>
  </si>
  <si>
    <t>ACHR</t>
  </si>
  <si>
    <t>ADSLF</t>
  </si>
  <si>
    <t>ENVX</t>
  </si>
  <si>
    <t>EONR</t>
  </si>
  <si>
    <t>LNVGF</t>
  </si>
  <si>
    <t>MX</t>
  </si>
  <si>
    <t>UGRO</t>
  </si>
  <si>
    <t>EU</t>
  </si>
  <si>
    <t>ZENA</t>
  </si>
  <si>
    <t>PRZO</t>
  </si>
  <si>
    <t>RYAM</t>
  </si>
  <si>
    <t>ACRS</t>
  </si>
  <si>
    <t>TWI</t>
  </si>
  <si>
    <t>CMPS</t>
  </si>
  <si>
    <t>ABSI</t>
  </si>
  <si>
    <t>BTG</t>
  </si>
  <si>
    <t>GPK</t>
  </si>
  <si>
    <t>BDMD</t>
  </si>
  <si>
    <t>ACDC</t>
  </si>
  <si>
    <t>MLEC</t>
  </si>
  <si>
    <t>IKT</t>
  </si>
  <si>
    <t>CDLX</t>
  </si>
  <si>
    <t>OCGN</t>
  </si>
  <si>
    <t>GCTS</t>
  </si>
  <si>
    <t>HLX</t>
  </si>
  <si>
    <t>JBLU</t>
  </si>
  <si>
    <t>JDZG</t>
  </si>
  <si>
    <t>ULCC</t>
  </si>
  <si>
    <t>QNCX</t>
  </si>
  <si>
    <t>SHLS</t>
  </si>
  <si>
    <t>CTOS</t>
  </si>
  <si>
    <t>FRMI</t>
  </si>
  <si>
    <t>AMBP</t>
  </si>
  <si>
    <t>GNPX</t>
  </si>
  <si>
    <t>FULC</t>
  </si>
  <si>
    <t>RES</t>
  </si>
  <si>
    <t>ZNTL</t>
  </si>
  <si>
    <t>PCT</t>
  </si>
  <si>
    <t>UCAR</t>
  </si>
  <si>
    <t>IPST</t>
  </si>
  <si>
    <t>LRHC</t>
  </si>
  <si>
    <t>QVCGP</t>
  </si>
  <si>
    <t>CLIK</t>
  </si>
  <si>
    <t>ABTS</t>
  </si>
  <si>
    <t>FJET</t>
  </si>
  <si>
    <t>PSRHF</t>
  </si>
  <si>
    <t>JEM</t>
  </si>
  <si>
    <t>FTRE</t>
  </si>
  <si>
    <t>RMSG</t>
  </si>
  <si>
    <t>FRSH</t>
  </si>
  <si>
    <t>WBUY</t>
  </si>
  <si>
    <t>CXM</t>
  </si>
  <si>
    <t>KYTX</t>
  </si>
  <si>
    <t>TRON</t>
  </si>
  <si>
    <t>GTM</t>
  </si>
  <si>
    <t>PATH</t>
  </si>
  <si>
    <t>AVTR</t>
  </si>
  <si>
    <t>NNOX</t>
  </si>
  <si>
    <t>BYND</t>
  </si>
  <si>
    <t>PAVS</t>
  </si>
  <si>
    <t>SPT</t>
  </si>
  <si>
    <t>WEAV</t>
  </si>
  <si>
    <t>EEIQ</t>
  </si>
  <si>
    <t>ACB</t>
  </si>
  <si>
    <t>NTSK</t>
  </si>
  <si>
    <t>ELDN</t>
  </si>
  <si>
    <t>PACB</t>
  </si>
  <si>
    <t>ACXP</t>
  </si>
  <si>
    <t>BIAF</t>
  </si>
  <si>
    <t>HTZ</t>
  </si>
  <si>
    <t>RCAT</t>
  </si>
  <si>
    <t>ONDS</t>
  </si>
  <si>
    <t>UPC</t>
  </si>
  <si>
    <t>TNMG</t>
  </si>
  <si>
    <t>PETS</t>
  </si>
  <si>
    <t>SKYQ</t>
  </si>
  <si>
    <t>ABCL</t>
  </si>
  <si>
    <t>CAST</t>
  </si>
  <si>
    <t>TZA</t>
  </si>
  <si>
    <t>ILLR</t>
  </si>
  <si>
    <t>RCT</t>
  </si>
  <si>
    <t>HUMA</t>
  </si>
  <si>
    <t>MBRX</t>
  </si>
  <si>
    <t>RXT</t>
  </si>
  <si>
    <t>RZLV</t>
  </si>
  <si>
    <t>LGCL</t>
  </si>
  <si>
    <t>EDBL</t>
  </si>
  <si>
    <t>BTCT</t>
  </si>
  <si>
    <t>INTZ</t>
  </si>
  <si>
    <t>AVAV</t>
  </si>
  <si>
    <t>CUPR</t>
  </si>
  <si>
    <t>CTNT</t>
  </si>
  <si>
    <t>VWAV</t>
  </si>
  <si>
    <t>GVH</t>
  </si>
  <si>
    <t>ENPH</t>
  </si>
  <si>
    <t>EBON</t>
  </si>
  <si>
    <t>BOT</t>
  </si>
  <si>
    <t>AVEX</t>
  </si>
  <si>
    <t>UMAC</t>
  </si>
  <si>
    <t>SHAZ</t>
  </si>
  <si>
    <t>SEDG</t>
  </si>
  <si>
    <t>KTTA</t>
  </si>
  <si>
    <t>BOLD</t>
  </si>
  <si>
    <t>QXO</t>
  </si>
  <si>
    <t>EQ</t>
  </si>
  <si>
    <t>VTGN</t>
  </si>
  <si>
    <t>UNCY</t>
  </si>
  <si>
    <t>GMEX</t>
  </si>
  <si>
    <t>NVCT</t>
  </si>
  <si>
    <t>CNXC</t>
  </si>
  <si>
    <t>BDRX</t>
  </si>
  <si>
    <t>VSH</t>
  </si>
  <si>
    <t>ACIU</t>
  </si>
  <si>
    <t>MAMA</t>
  </si>
  <si>
    <t>CONL</t>
  </si>
  <si>
    <t>LOGI</t>
  </si>
  <si>
    <t>SOC</t>
  </si>
  <si>
    <t>TNON</t>
  </si>
  <si>
    <t>GDC</t>
  </si>
  <si>
    <t>OSTX</t>
  </si>
  <si>
    <t>ATLN</t>
  </si>
  <si>
    <t>VVOS</t>
  </si>
  <si>
    <t>QTEX</t>
  </si>
  <si>
    <t>SVM</t>
  </si>
  <si>
    <t>BAK</t>
  </si>
  <si>
    <t>ASST</t>
  </si>
  <si>
    <t>SIVEF</t>
  </si>
  <si>
    <t>HAFN</t>
  </si>
  <si>
    <t>TRIB</t>
  </si>
  <si>
    <t>QUBT</t>
  </si>
  <si>
    <t>SBS</t>
  </si>
  <si>
    <t>UEC</t>
  </si>
  <si>
    <t>SBET</t>
  </si>
  <si>
    <t>CGC</t>
  </si>
  <si>
    <t>ITUB</t>
  </si>
  <si>
    <t>CSAI</t>
  </si>
  <si>
    <t>PONY</t>
  </si>
  <si>
    <t>HXHX</t>
  </si>
  <si>
    <t>LLDTF</t>
  </si>
  <si>
    <t>ARRY</t>
  </si>
  <si>
    <t>AKBA</t>
  </si>
  <si>
    <t>HAO</t>
  </si>
  <si>
    <t>ASPI</t>
  </si>
  <si>
    <t>CNDT</t>
  </si>
  <si>
    <t>DGNX</t>
  </si>
  <si>
    <t>NRGV</t>
  </si>
  <si>
    <t>BCRX</t>
  </si>
  <si>
    <t>SCAG</t>
  </si>
  <si>
    <t>NEOV</t>
  </si>
  <si>
    <t>PYXS</t>
  </si>
  <si>
    <t>NXXT</t>
  </si>
  <si>
    <t>DPRO</t>
  </si>
  <si>
    <t>CHAI</t>
  </si>
  <si>
    <t>AIRJ</t>
  </si>
  <si>
    <t>SVRE</t>
  </si>
  <si>
    <t>BACCR</t>
  </si>
  <si>
    <t>CELZ</t>
  </si>
  <si>
    <t>BACC</t>
  </si>
  <si>
    <t>QSI</t>
  </si>
  <si>
    <t>SPPL</t>
  </si>
  <si>
    <t>VGZ</t>
  </si>
  <si>
    <t>GWH</t>
  </si>
  <si>
    <t>AMTX</t>
  </si>
  <si>
    <t>KNDI</t>
  </si>
  <si>
    <t>LIDR</t>
  </si>
  <si>
    <t>OXSQ</t>
  </si>
  <si>
    <t>ALIT</t>
  </si>
  <si>
    <t>DEFT</t>
  </si>
  <si>
    <t>MIST</t>
  </si>
  <si>
    <t>REI</t>
  </si>
  <si>
    <t>SAFX</t>
  </si>
  <si>
    <t>PDYN</t>
  </si>
  <si>
    <t>LTRX</t>
  </si>
  <si>
    <t>ALDX</t>
  </si>
  <si>
    <t>GPRO</t>
  </si>
  <si>
    <t>VERI</t>
  </si>
  <si>
    <t>NNBR</t>
  </si>
  <si>
    <t>DVLT</t>
  </si>
  <si>
    <t>AMPG</t>
  </si>
  <si>
    <t>ELME</t>
  </si>
  <si>
    <t>GANX</t>
  </si>
  <si>
    <t>AIB</t>
  </si>
  <si>
    <t>BMEA</t>
  </si>
  <si>
    <t>ARBE</t>
  </si>
  <si>
    <t>VLN</t>
  </si>
  <si>
    <t>NFE</t>
  </si>
  <si>
    <t>MVIS</t>
  </si>
  <si>
    <t>TII</t>
  </si>
  <si>
    <t>CRIS</t>
  </si>
  <si>
    <t>GTBP</t>
  </si>
  <si>
    <t>VUZI</t>
  </si>
  <si>
    <t>VFF</t>
  </si>
  <si>
    <t>SPWR</t>
  </si>
  <si>
    <t>INVZ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</si>
</sst>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20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os.rtd">
      <tp t="s">
        <v>2,806 M</v>
        <stp/>
        <stp>MARKET_CAP</stp>
        <stp>FRSH</stp>
        <tr r="I203" s="1"/>
      </tp>
      <tp>
        <v>2.5000000000000001E-2</v>
        <stp/>
        <stp>MARK_CHANGE</stp>
        <stp>GPK</stp>
        <tr r="D140" s="1"/>
      </tp>
      <tp>
        <v>-0.03</v>
        <stp/>
        <stp>MARK_CHANGE</stp>
        <stp>GTM</stp>
        <tr r="D209" s="1"/>
      </tp>
      <tp t="s">
        <v>13 M</v>
        <stp/>
        <stp>MARKET_CAP</stp>
        <stp>PRZO</stp>
        <tr r="I124" s="1"/>
      </tp>
      <tp t="s">
        <v>268 M</v>
        <stp/>
        <stp>MARKET_CAP</stp>
        <stp>ORBS</stp>
        <tr r="I92" s="1"/>
      </tp>
      <tp t="s">
        <v>119 M</v>
        <stp/>
        <stp>MARKET_CAP</stp>
        <stp>SRFM</stp>
        <tr r="I95" s="1"/>
        <tr r="I232" s="1"/>
      </tp>
      <tp t="s">
        <v>442 M</v>
        <stp/>
        <stp>MARKET_CAP</stp>
        <stp>KREF</stp>
        <tr r="I188" s="1"/>
      </tp>
      <tp t="s">
        <v>1.8 M</v>
        <stp/>
        <stp>MARKET_CAP</stp>
        <stp>LRHC</stp>
        <tr r="I187" s="1"/>
      </tp>
      <tp t="s">
        <v>87 M</v>
        <stp/>
        <stp>MARKET_CAP</stp>
        <stp>VRNO</stp>
        <tr r="I205" s="1"/>
      </tp>
      <tp t="s">
        <v>776 M</v>
        <stp/>
        <stp>MARKET_CAP</stp>
        <stp>TRON</stp>
        <tr r="I208" s="1"/>
      </tp>
      <tp t="s">
        <v>5,784 M</v>
        <stp/>
        <stp>MARKET_CAP</stp>
        <stp>FRMI</stp>
        <tr r="I158" s="1"/>
      </tp>
      <tp>
        <v>-0.06</v>
        <stp/>
        <stp>MARK_CHANGE</stp>
        <stp>FRSH</stp>
        <tr r="D203" s="1"/>
      </tp>
      <tp t="s">
        <v>BIT DIGITAL INC.</v>
        <stp/>
        <stp>DESCRIPTION</stp>
        <stp>BTBT</stp>
        <tr r="B100" s="1"/>
      </tp>
      <tp>
        <v>5.77</v>
        <stp/>
        <stp>ASK</stp>
        <stp>TDIC</stp>
        <tr r="H168" s="1"/>
      </tp>
      <tp t="s">
        <v>CUSTOM TRUCK ONE SOU</v>
        <stp/>
        <stp>DESCRIPTION</stp>
        <stp>CTOS</stp>
        <tr r="B157" s="1"/>
      </tp>
      <tp>
        <v>1.12E-2</v>
        <stp/>
        <stp>MARK_CHANGE</stp>
        <stp>PRZO</stp>
        <tr r="D124" s="1"/>
      </tp>
      <tp t="s">
        <v>+1.74%</v>
        <stp/>
        <stp>MARK_PERCENT_CHANGE</stp>
        <stp>AGPU</stp>
        <tr r="E70" s="1"/>
        <tr r="E184" s="1"/>
      </tp>
      <tp>
        <v>4.5999999999999996</v>
        <stp/>
        <stp>ASK</stp>
        <stp>CDLX</stp>
        <tr r="H146" s="1"/>
      </tp>
      <tp>
        <v>1.1599999999999999</v>
        <stp/>
        <stp>ASK</stp>
        <stp>BDMD</stp>
        <tr r="H141" s="1"/>
      </tp>
      <tp t="s">
        <v>0.00%</v>
        <stp/>
        <stp>MARK_PERCENT_CHANGE</stp>
        <stp>UGRO</stp>
        <tr r="E117" s="1"/>
      </tp>
      <tp>
        <v>0.25990000000000002</v>
        <stp/>
        <stp>MARK_CHANGE</stp>
        <stp>SRFM</stp>
        <tr r="D95" s="1"/>
        <tr r="D232" s="1"/>
      </tp>
      <tp>
        <v>-0.09</v>
        <stp/>
        <stp>MARK_CHANGE</stp>
        <stp>KREF</stp>
        <tr r="D188" s="1"/>
      </tp>
      <tp>
        <v>-8.5000000000000006E-3</v>
        <stp/>
        <stp>MARK_CHANGE</stp>
        <stp>ORBS</stp>
        <tr r="D92" s="1"/>
      </tp>
      <tp t="s">
        <v>FORTREA HLDGS INC</v>
        <stp/>
        <stp>DESCRIPTION</stp>
        <stp>FTRE</stp>
        <tr r="B200" s="1"/>
      </tp>
      <tp t="s">
        <v>NETSKOPE INC A</v>
        <stp/>
        <stp>DESCRIPTION</stp>
        <stp>NTSK</stp>
        <tr r="B224" s="1"/>
      </tp>
      <tp>
        <v>21.5</v>
        <stp/>
        <stp>ASK</stp>
        <stp>JDZG</stp>
        <tr r="H152" s="1"/>
      </tp>
      <tp>
        <v>0</v>
        <stp/>
        <stp>MARK_CHANGE</stp>
        <stp>VRNO</stp>
        <tr r="D205" s="1"/>
      </tp>
      <tp>
        <v>0.16</v>
        <stp/>
        <stp>MARK_CHANGE</stp>
        <stp>TRON</stp>
        <tr r="D208" s="1"/>
      </tp>
      <tp>
        <v>-0.38500000000000001</v>
        <stp/>
        <stp>MARK_CHANGE</stp>
        <stp>FRMI</stp>
        <tr r="D158" s="1"/>
      </tp>
      <tp>
        <v>0.06</v>
        <stp/>
        <stp>MARK_CHANGE</stp>
        <stp>LRHC</stp>
        <tr r="D187" s="1"/>
      </tp>
      <tp t="s">
        <v>226 M</v>
        <stp/>
        <stp>MARKET_CAP</stp>
        <stp>PSRHF</stp>
        <tr r="I197" s="1"/>
      </tp>
      <tp t="s">
        <v>962 M</v>
        <stp/>
        <stp>MARKET_CAP</stp>
        <stp>CURLF</stp>
        <tr r="I192" s="1"/>
      </tp>
      <tp t="s">
        <v>0.99 M</v>
        <stp/>
        <stp>MARKET_CAP</stp>
        <stp>ZSPC</stp>
        <tr r="I69" s="1"/>
      </tp>
      <tp t="s">
        <v>48 M</v>
        <stp/>
        <stp>MARKET_CAP</stp>
        <stp>ASTI</stp>
        <tr r="I131" s="1"/>
        <tr r="I174" s="1"/>
      </tp>
      <tp t="s">
        <v>3.2 M</v>
        <stp/>
        <stp>MARKET_CAP</stp>
        <stp>GSUN</stp>
        <tr r="I82" s="1"/>
      </tp>
      <tp t="s">
        <v>1,597 M</v>
        <stp/>
        <stp>MARKET_CAP</stp>
        <stp>ASAN</stp>
        <tr r="I196" s="1"/>
      </tp>
      <tp t="s">
        <v>290 M</v>
        <stp/>
        <stp>MARKET_CAP</stp>
        <stp>GSIT</stp>
        <tr r="I217" s="1"/>
      </tp>
      <tp>
        <v>1.28</v>
        <stp/>
        <stp>ASK</stp>
        <stp>RECT</stp>
        <tr r="H133" s="1"/>
      </tp>
      <tp>
        <v>0.17</v>
        <stp/>
        <stp>MARK_CHANGE</stp>
        <stp>ASTI</stp>
        <tr r="D131" s="1"/>
        <tr r="D174" s="1"/>
      </tp>
      <tp>
        <v>-1.6199999999999999E-2</v>
        <stp/>
        <stp>MARK_CHANGE</stp>
        <stp>GSUN</stp>
        <tr r="D82" s="1"/>
      </tp>
      <tp>
        <v>5.98</v>
        <stp/>
        <stp>ASK</stp>
        <stp>WEAV</stp>
        <tr r="H220" s="1"/>
      </tp>
      <tp t="s">
        <v>NEW ERA EN &amp; DIG</v>
        <stp/>
        <stp>DESCRIPTION</stp>
        <stp>NUAI</stp>
        <tr r="B93" s="1"/>
      </tp>
      <tp>
        <v>1.6199999999999999E-2</v>
        <stp/>
        <stp>MARK_CHANGE</stp>
        <stp>ZSPC</stp>
        <tr r="D69" s="1"/>
      </tp>
      <tp t="s">
        <v>HUB CYBER SEC LTD</v>
        <stp/>
        <stp>DESCRIPTION</stp>
        <stp>HUBC</stp>
        <tr r="B190" s="1"/>
      </tp>
      <tp>
        <v>5.75</v>
        <stp/>
        <stp>ASK</stp>
        <stp>KEEL</stp>
        <tr r="H173" s="1"/>
        <tr r="H128" s="1"/>
      </tp>
      <tp t="s">
        <v>WEBULL CORP A</v>
        <stp/>
        <stp>DESCRIPTION</stp>
        <stp>BULL</stp>
        <tr r="B89" s="1"/>
      </tp>
      <tp t="s">
        <v>FULCRUM THERAPEUTICS</v>
        <stp/>
        <stp>DESCRIPTION</stp>
        <stp>FULC</stp>
        <tr r="B164" s="1"/>
      </tp>
      <tp>
        <v>3.16</v>
        <stp/>
        <stp>ASK</stp>
        <stp>EEIQ</stp>
        <tr r="H221" s="1"/>
      </tp>
      <tp>
        <v>1.49</v>
        <stp/>
        <stp>ASK</stp>
        <stp>ZENA</stp>
        <tr r="H123" s="1"/>
      </tp>
      <tp>
        <v>1.85</v>
        <stp/>
        <stp>ASK</stp>
        <stp>RENX</stp>
        <tr r="H162" s="1"/>
      </tp>
      <tp t="s">
        <v>AUDDIA INC</v>
        <stp/>
        <stp>DESCRIPTION</stp>
        <stp>AUUD</stp>
        <tr r="B181" s="1"/>
      </tp>
      <tp>
        <v>11.27</v>
        <stp/>
        <stp>ASK</stp>
        <stp>REPL</stp>
        <tr r="H175" s="1"/>
        <tr r="H122" s="1"/>
      </tp>
      <tp>
        <v>2.7</v>
        <stp/>
        <stp>ASK</stp>
        <stp>RETO</stp>
        <tr r="H72" s="1"/>
      </tp>
      <tp>
        <v>-7.0000000000000007E-2</v>
        <stp/>
        <stp>MARK_CHANGE</stp>
        <stp>ASAN</stp>
        <tr r="D196" s="1"/>
      </tp>
      <tp>
        <v>0.745</v>
        <stp/>
        <stp>MARK_CHANGE</stp>
        <stp>GSIT</stp>
        <tr r="D217" s="1"/>
      </tp>
      <tp>
        <v>630211</v>
        <stp/>
        <stp>VOLUME</stp>
        <stp>TRX</stp>
        <tr r="F97" s="1"/>
      </tp>
      <tp>
        <v>253722</v>
        <stp/>
        <stp>VOLUME</stp>
        <stp>TWI</stp>
        <tr r="F136" s="1"/>
      </tp>
      <tp t="s">
        <v>285 M</v>
        <stp/>
        <stp>MARKET_CAP</stp>
        <stp>ADSLF</stp>
        <tr r="I108" s="1"/>
      </tp>
      <tp t="s">
        <v>1.8 M</v>
        <stp/>
        <stp>MARKET_CAP</stp>
        <stp>IPST</stp>
        <tr r="I182" s="1"/>
      </tp>
      <tp t="s">
        <v>2.2 M</v>
        <stp/>
        <stp>MARKET_CAP</stp>
        <stp>RPGL</stp>
        <tr r="I76" s="1"/>
      </tp>
      <tp t="s">
        <v>4,558 M</v>
        <stp/>
        <stp>MARKET_CAP</stp>
        <stp>OPEN</stp>
        <tr r="I101" s="1"/>
      </tp>
      <tp t="s">
        <v>100 M</v>
        <stp/>
        <stp>MARKET_CAP</stp>
        <stp>CPIX</stp>
        <tr r="I180" s="1"/>
      </tp>
      <tp>
        <v>-0.21010000000000001</v>
        <stp/>
        <stp>MARK_CHANGE</stp>
        <stp>IPST</stp>
        <tr r="D182" s="1"/>
      </tp>
      <tp>
        <v>0.84209999999999996</v>
        <stp/>
        <stp>MARK</stp>
        <stp>TRX</stp>
        <tr r="C97" s="1"/>
      </tp>
      <tp t="s">
        <v>+2.83%</v>
        <stp/>
        <stp>MARK_PERCENT_CHANGE</stp>
        <stp>RETO</stp>
        <tr r="E72" s="1"/>
      </tp>
      <tp>
        <v>7.88</v>
        <stp/>
        <stp>MARK</stp>
        <stp>TWI</stp>
        <tr r="C136" s="1"/>
      </tp>
      <tp t="s">
        <v>+0.54%</v>
        <stp/>
        <stp>MARK_PERCENT_CHANGE</stp>
        <stp>REPL</stp>
        <tr r="E122" s="1"/>
        <tr r="E175" s="1"/>
      </tp>
      <tp t="s">
        <v>AVANTOR INC</v>
        <stp/>
        <stp>DESCRIPTION</stp>
        <stp>AVTR</stp>
        <tr r="B211" s="1"/>
      </tp>
      <tp>
        <v>1.4999999999999999E-2</v>
        <stp/>
        <stp>MARK_CHANGE</stp>
        <stp>RPGL</stp>
        <tr r="D76" s="1"/>
      </tp>
      <tp t="s">
        <v>-5.21%</v>
        <stp/>
        <stp>MARK_PERCENT_CHANGE</stp>
        <stp>RENX</stp>
        <tr r="E162" s="1"/>
      </tp>
      <tp>
        <v>0.125</v>
        <stp/>
        <stp>MARK_CHANGE</stp>
        <stp>OPEN</stp>
        <tr r="D101" s="1"/>
      </tp>
      <tp t="s">
        <v>-4.19%</v>
        <stp/>
        <stp>MARK_PERCENT_CHANGE</stp>
        <stp>ZENA</stp>
        <tr r="E123" s="1"/>
      </tp>
      <tp t="s">
        <v>+1.64%</v>
        <stp/>
        <stp>MARK_PERCENT_CHANGE</stp>
        <stp>EEIQ</stp>
        <tr r="E221" s="1"/>
      </tp>
      <tp t="s">
        <v>-0.61%</v>
        <stp/>
        <stp>MARK_PERCENT_CHANGE</stp>
        <stp>KEEL</stp>
        <tr r="E173" s="1"/>
        <tr r="E128" s="1"/>
      </tp>
      <tp t="s">
        <v>-2.53%</v>
        <stp/>
        <stp>MARK_PERCENT_CHANGE</stp>
        <stp>WEAV</stp>
        <tr r="E220" s="1"/>
      </tp>
      <tp t="s">
        <v>-0.36%</v>
        <stp/>
        <stp>MARK_PERCENT_CHANGE</stp>
        <stp>RECT</stp>
        <tr r="E133" s="1"/>
      </tp>
      <tp>
        <v>-0.15</v>
        <stp/>
        <stp>MARK_CHANGE</stp>
        <stp>CPIX</stp>
        <tr r="D180" s="1"/>
      </tp>
      <tp t="s">
        <v>ZOOMINFO TECHNOLOGIE</v>
        <stp/>
        <stp>DESCRIPTION</stp>
        <stp>GTM</stp>
        <tr r="B209" s="1"/>
      </tp>
      <tp t="s">
        <v>GRAPHIC PACKAGING HL</v>
        <stp/>
        <stp>DESCRIPTION</stp>
        <stp>GPK</stp>
        <tr r="B140" s="1"/>
      </tp>
      <tp t="s">
        <v>-57.00%</v>
        <stp/>
        <stp>MARK_PERCENT_CHANGE</stp>
        <stp>JDZG</stp>
        <tr r="E152" s="1"/>
      </tp>
      <tp>
        <v>3.2</v>
        <stp/>
        <stp>ASK</stp>
        <stp>UGRO</stp>
        <tr r="H117" s="1"/>
      </tp>
      <tp t="s">
        <v>-0.44%</v>
        <stp/>
        <stp>MARK_PERCENT_CHANGE</stp>
        <stp>BDMD</stp>
        <tr r="E141" s="1"/>
      </tp>
      <tp t="s">
        <v>-6.16%</v>
        <stp/>
        <stp>MARK_PERCENT_CHANGE</stp>
        <stp>CDLX</stp>
        <tr r="E146" s="1"/>
      </tp>
      <tp>
        <v>7.77</v>
        <stp/>
        <stp>ASK</stp>
        <stp>AGPU</stp>
        <tr r="H184" s="1"/>
        <tr r="H70" s="1"/>
      </tp>
      <tp t="s">
        <v>-2.21%</v>
        <stp/>
        <stp>MARK_PERCENT_CHANGE</stp>
        <stp>TDIC</stp>
        <tr r="E168" s="1"/>
      </tp>
      <tp t="s">
        <v>6,752 M</v>
        <stp/>
        <stp>MARKET_CAP</stp>
        <stp>AVTR</stp>
        <tr r="I211" s="1"/>
      </tp>
      <tp>
        <v>-0.08</v>
        <stp/>
        <stp>MARK_CHANGE</stp>
        <stp>CXM</stp>
        <tr r="D206" s="1"/>
      </tp>
      <tp>
        <v>-0.02</v>
        <stp/>
        <stp>MARK_CHANGE</stp>
        <stp>CYH</stp>
        <tr r="D109" s="1"/>
      </tp>
      <tp t="s">
        <v>OPENDOOR TECHNOLOGIE A</v>
        <stp/>
        <stp>DESCRIPTION</stp>
        <stp>OPEN</stp>
        <tr r="B101" s="1"/>
      </tp>
      <tp>
        <v>-0.14000000000000001</v>
        <stp/>
        <stp>MARK_CHANGE</stp>
        <stp>AVTR</stp>
        <tr r="D211" s="1"/>
      </tp>
      <tp t="s">
        <v>REPUBLIC PWR GROUP L A</v>
        <stp/>
        <stp>DESCRIPTION</stp>
        <stp>RPGL</stp>
        <tr r="B76" s="1"/>
      </tp>
      <tp t="s">
        <v>-7.14%</v>
        <stp/>
        <stp>MARK_PERCENT_CHANGE</stp>
        <stp>ACXP</stp>
        <tr r="E228" s="1"/>
      </tp>
      <tp t="s">
        <v>+20.12%</v>
        <stp/>
        <stp>MARK_PERCENT_CHANGE</stp>
        <stp>GCTS</stp>
        <tr r="E149" s="1"/>
      </tp>
      <tp>
        <v>1.37</v>
        <stp/>
        <stp>BID</stp>
        <stp>BZAI</stp>
        <tr r="G218" s="1"/>
      </tp>
      <tp t="s">
        <v>CUMBERLAND PHARMACEU</v>
        <stp/>
        <stp>DESCRIPTION</stp>
        <stp>CPIX</stp>
        <tr r="B180" s="1"/>
      </tp>
      <tp t="s">
        <v>+4.48%</v>
        <stp/>
        <stp>MARK_PERCENT_CHANGE</stp>
        <stp>ACRS</stp>
        <tr r="E135" s="1"/>
      </tp>
      <tp>
        <v>1.03</v>
        <stp/>
        <stp>BID</stp>
        <stp>JZXN</stp>
        <tr r="G91" s="1"/>
      </tp>
      <tp t="s">
        <v>+0.75%</v>
        <stp/>
        <stp>MARK_PERCENT_CHANGE</stp>
        <stp>ACHR</stp>
        <tr r="E107" s="1"/>
      </tp>
      <tp t="s">
        <v>IP STRATEGY HLDGS IN</v>
        <stp/>
        <stp>DESCRIPTION</stp>
        <stp>IPST</stp>
        <tr r="B182" s="1"/>
      </tp>
      <tp t="s">
        <v>-2.50%</v>
        <stp/>
        <stp>MARK_PERCENT_CHANGE</stp>
        <stp>ACDC</stp>
        <tr r="E142" s="1"/>
      </tp>
      <tp t="s">
        <v>-5.69%</v>
        <stp/>
        <stp>MARK_PERCENT_CHANGE</stp>
        <stp>OCGN</stp>
        <tr r="E147" s="1"/>
      </tp>
      <tp t="s">
        <v>+0.83%</v>
        <stp/>
        <stp>MARK_PERCENT_CHANGE</stp>
        <stp>UCAR</stp>
        <tr r="E172" s="1"/>
      </tp>
      <tp>
        <v>5.77</v>
        <stp/>
        <stp>MARK</stp>
        <stp>RES</stp>
        <tr r="C165" s="1"/>
      </tp>
      <tp t="s">
        <v>-4.43%</v>
        <stp/>
        <stp>MARK_PERCENT_CHANGE</stp>
        <stp>YCBD</stp>
        <tr r="E176" s="1"/>
      </tp>
      <tp t="s">
        <v>36,733 M</v>
        <stp/>
        <stp>MARKET_CAP</stp>
        <stp>LNVGF</stp>
        <tr r="I112" s="1"/>
      </tp>
      <tp>
        <v>-0.02</v>
        <stp/>
        <stp>MARK_CHANGE</stp>
        <stp>EU</stp>
        <tr r="D120" s="1"/>
      </tp>
      <tp>
        <v>-5.5E-2</v>
        <stp/>
        <stp>MARK_CHANGE</stp>
        <stp>BTG</stp>
        <tr r="D139" s="1"/>
      </tp>
      <tp>
        <v>0.18</v>
        <stp/>
        <stp>MARK_CHANGE</stp>
        <stp>MX</stp>
        <tr r="D113" s="1"/>
      </tp>
      <tp>
        <v>0.67</v>
        <stp/>
        <stp>MARK_CHANGE</stp>
        <stp>TE</stp>
        <tr r="D94" s="1"/>
      </tp>
      <tp>
        <v>5.5E-2</v>
        <stp/>
        <stp>MARK_CHANGE</stp>
        <stp>RR</stp>
        <tr r="D103" s="1"/>
      </tp>
      <tp>
        <v>-1.4999999999999999E-2</v>
        <stp/>
        <stp>MARK_CHANGE</stp>
        <stp>QS</stp>
        <tr r="D132" s="1"/>
        <tr r="D170" s="1"/>
      </tp>
      <tp>
        <v>0.13</v>
        <stp/>
        <stp>MARK_CHANGE</stp>
        <stp>PD</stp>
        <tr r="D231" s="1"/>
      </tp>
      <tp t="s">
        <v>AURORA CANNABIS INC</v>
        <stp/>
        <stp>DESCRIPTION</stp>
        <stp>ACB</stp>
        <tr r="B222" s="1"/>
      </tp>
      <tp t="s">
        <v>ALTIMMUNE INC</v>
        <stp/>
        <stp>DESCRIPTION</stp>
        <stp>ALT</stp>
        <tr r="B189" s="1"/>
      </tp>
      <tp>
        <v>1.67</v>
        <stp/>
        <stp>ASK</stp>
        <stp>PACB</stp>
        <tr r="H226" s="1"/>
      </tp>
      <tp>
        <v>3.17</v>
        <stp/>
        <stp>ASK</stp>
        <stp>LAES</stp>
        <tr r="H83" s="1"/>
      </tp>
      <tp>
        <v>2.4300000000000002</v>
        <stp/>
        <stp>MARK</stp>
        <stp>SST</stp>
        <tr r="C178" s="1"/>
      </tp>
      <tp t="s">
        <v>-1.05%</v>
        <stp/>
        <stp>MARK_PERCENT_CHANGE</stp>
        <stp>WBUY</stp>
        <tr r="E204" s="1"/>
      </tp>
      <tp t="s">
        <v>+0.86%</v>
        <stp/>
        <stp>MARK_PERCENT_CHANGE</stp>
        <stp>ABTS</stp>
        <tr r="E194" s="1"/>
      </tp>
      <tp t="s">
        <v>-5.27%</v>
        <stp/>
        <stp>MARK_PERCENT_CHANGE</stp>
        <stp>ABTC</stp>
        <tr r="E106" s="1"/>
      </tp>
      <tp>
        <v>7.5</v>
        <stp/>
        <stp>MARK</stp>
        <stp>SPT</stp>
        <tr r="C219" s="1"/>
      </tp>
      <tp t="s">
        <v>+2.64%</v>
        <stp/>
        <stp>MARK_PERCENT_CHANGE</stp>
        <stp>ABSI</stp>
        <tr r="E138" s="1"/>
      </tp>
      <tp>
        <v>0.40500000000000003</v>
        <stp/>
        <stp>ASK</stp>
        <stp>GAME</stp>
        <tr r="H80" s="1"/>
      </tp>
      <tp t="s">
        <v>+0.29%</v>
        <stp/>
        <stp>MARK_PERCENT_CHANGE</stp>
        <stp>IBRX</stp>
        <tr r="E87" s="1"/>
      </tp>
      <tp t="s">
        <v>+11.41%</v>
        <stp/>
        <stp>MARK_PERCENT_CHANGE</stp>
        <stp>MBLY</stp>
        <tr r="E171" s="1"/>
      </tp>
      <tp t="s">
        <v>+0.44%</v>
        <stp/>
        <stp>MARK_PERCENT_CHANGE</stp>
        <stp>JBLU</stp>
        <tr r="E151" s="1"/>
      </tp>
      <tp>
        <v>7.9</v>
        <stp/>
        <stp>ASK</stp>
        <stp>PAVS</stp>
        <tr r="H216" s="1"/>
      </tp>
      <tp>
        <v>0.88990000000000002</v>
        <stp/>
        <stp>ASK</stp>
        <stp>UAVS</stp>
        <tr r="H96" s="1"/>
      </tp>
      <tp>
        <v>13.14</v>
        <stp/>
        <stp>MARK</stp>
        <stp>SMX</stp>
        <tr r="C118" s="1"/>
      </tp>
      <tp>
        <v>10.75</v>
        <stp/>
        <stp>ASK</stp>
        <stp>PATH</stp>
        <tr r="H210" s="1"/>
      </tp>
      <tp>
        <v>5.95</v>
        <stp/>
        <stp>ASK</stp>
        <stp>SATL</stp>
        <tr r="H86" s="1"/>
      </tp>
      <tp>
        <v>1.33</v>
        <stp/>
        <stp>ASK</stp>
        <stp>BATL</stp>
        <tr r="H121" s="1"/>
      </tp>
      <tp t="s">
        <v>+2.36%</v>
        <stp/>
        <stp>MARK_PERCENT_CHANGE</stp>
        <stp>BBAI</stp>
        <tr r="E84" s="1"/>
      </tp>
      <tp>
        <v>0.998</v>
        <stp/>
        <stp>MARK</stp>
        <stp>SES</stp>
        <tr r="C126" s="1"/>
      </tp>
      <tp>
        <v>14501</v>
        <stp/>
        <stp>VOLUME</stp>
        <stp>PBM</stp>
        <tr r="F79" s="1"/>
        <tr r="F213" s="1"/>
      </tp>
      <tp>
        <v>1582885</v>
        <stp/>
        <stp>VOLUME</stp>
        <stp>PCT</stp>
        <tr r="F167" s="1"/>
      </tp>
      <tp t="s">
        <v>B2GOLD CORP</v>
        <stp/>
        <stp>DESCRIPTION</stp>
        <stp>BTG</stp>
        <tr r="B139" s="1"/>
      </tp>
      <tp t="s">
        <v>1,636 M</v>
        <stp/>
        <stp>MARKET_CAP</stp>
        <stp>FTRE</stp>
        <tr r="I200" s="1"/>
      </tp>
      <tp t="s">
        <v>4,514 M</v>
        <stp/>
        <stp>MARKET_CAP</stp>
        <stp>NTSK</stp>
        <tr r="I224" s="1"/>
      </tp>
      <tp t="s">
        <v>630 M</v>
        <stp/>
        <stp>MARKET_CAP</stp>
        <stp>BTBT</stp>
        <tr r="I100" s="1"/>
      </tp>
      <tp>
        <v>-8.5000000000000006E-2</v>
        <stp/>
        <stp>MARK_CHANGE</stp>
        <stp>ACB</stp>
        <tr r="D222" s="1"/>
      </tp>
      <tp t="s">
        <v>2,689 M</v>
        <stp/>
        <stp>MARKET_CAP</stp>
        <stp>CTOS</stp>
        <tr r="I157" s="1"/>
      </tp>
      <tp>
        <v>0.2</v>
        <stp/>
        <stp>MARK_CHANGE</stp>
        <stp>ALT</stp>
        <tr r="D189" s="1"/>
      </tp>
      <tp t="s">
        <v>KKR REAL ESTATE FIN</v>
        <stp/>
        <stp>DESCRIPTION</stp>
        <stp>KREF</stp>
        <tr r="B188" s="1"/>
      </tp>
      <tp t="s">
        <v>SURF AIR MOBILITY IN Equity</v>
        <stp/>
        <stp>DESCRIPTION</stp>
        <stp>SRFM</stp>
        <tr r="B232" s="1"/>
        <tr r="B95" s="1"/>
      </tp>
      <tp>
        <v>3.69</v>
        <stp/>
        <stp>ASK</stp>
        <stp>BBAI</stp>
        <tr r="H84" s="1"/>
      </tp>
      <tp>
        <v>-0.22</v>
        <stp/>
        <stp>MARK_CHANGE</stp>
        <stp>FTRE</stp>
        <tr r="D200" s="1"/>
      </tp>
      <tp>
        <v>0.68</v>
        <stp/>
        <stp>MARK_CHANGE</stp>
        <stp>NTSK</stp>
        <tr r="D224" s="1"/>
      </tp>
      <tp t="s">
        <v>EIGHTCO HLDGS INC EQ</v>
        <stp/>
        <stp>DESCRIPTION</stp>
        <stp>ORBS</stp>
        <tr r="B92" s="1"/>
      </tp>
      <tp t="s">
        <v>+5.41%</v>
        <stp/>
        <stp>MARK_PERCENT_CHANGE</stp>
        <stp>SATL</stp>
        <tr r="E86" s="1"/>
      </tp>
      <tp t="s">
        <v>-6.69%</v>
        <stp/>
        <stp>MARK_PERCENT_CHANGE</stp>
        <stp>BATL</stp>
        <tr r="E121" s="1"/>
      </tp>
      <tp t="s">
        <v>+0.58%</v>
        <stp/>
        <stp>MARK_PERCENT_CHANGE</stp>
        <stp>PATH</stp>
        <tr r="E210" s="1"/>
      </tp>
      <tp t="s">
        <v>FERMI INC</v>
        <stp/>
        <stp>DESCRIPTION</stp>
        <stp>FRMI</stp>
        <tr r="B158" s="1"/>
      </tp>
      <tp t="s">
        <v>VERANO HLDGS CORP</v>
        <stp/>
        <stp>DESCRIPTION</stp>
        <stp>VRNO</stp>
        <tr r="B205" s="1"/>
      </tp>
      <tp t="s">
        <v>+27.89%</v>
        <stp/>
        <stp>MARK_PERCENT_CHANGE</stp>
        <stp>PAVS</stp>
        <tr r="E216" s="1"/>
      </tp>
      <tp t="s">
        <v>+2.95%</v>
        <stp/>
        <stp>MARK_PERCENT_CHANGE</stp>
        <stp>UAVS</stp>
        <tr r="E96" s="1"/>
      </tp>
      <tp t="s">
        <v>TRON INC</v>
        <stp/>
        <stp>DESCRIPTION</stp>
        <stp>TRON</stp>
        <tr r="B208" s="1"/>
      </tp>
      <tp t="s">
        <v>LA ROSA HLDGS CORP</v>
        <stp/>
        <stp>DESCRIPTION</stp>
        <stp>LRHC</stp>
        <tr r="B187" s="1"/>
      </tp>
      <tp>
        <v>5.66</v>
        <stp/>
        <stp>ASK</stp>
        <stp>JBLU</stp>
        <tr r="H151" s="1"/>
      </tp>
      <tp>
        <v>9.25</v>
        <stp/>
        <stp>ASK</stp>
        <stp>MBLY</stp>
        <tr r="H171" s="1"/>
      </tp>
      <tp t="s">
        <v>+0.97%</v>
        <stp/>
        <stp>MARK_PERCENT_CHANGE</stp>
        <stp>GAME</stp>
        <tr r="E80" s="1"/>
      </tp>
      <tp>
        <v>8.8000000000000007</v>
        <stp/>
        <stp>ASK</stp>
        <stp>IBRX</stp>
        <tr r="H87" s="1"/>
      </tp>
      <tp>
        <v>11.66</v>
        <stp/>
        <stp>ASK</stp>
        <stp>ABSI</stp>
        <tr r="H138" s="1"/>
      </tp>
      <tp>
        <v>-2.5000000000000001E-2</v>
        <stp/>
        <stp>MARK_CHANGE</stp>
        <stp>BTBT</stp>
        <tr r="D100" s="1"/>
      </tp>
      <tp>
        <v>0.67710000000000004</v>
        <stp/>
        <stp>ASK</stp>
        <stp>ABTC</stp>
        <tr r="H106" s="1"/>
      </tp>
      <tp>
        <v>1.19</v>
        <stp/>
        <stp>ASK</stp>
        <stp>ABTS</stp>
        <tr r="H194" s="1"/>
      </tp>
      <tp t="s">
        <v>FRESHWORKS INC A</v>
        <stp/>
        <stp>DESCRIPTION</stp>
        <stp>FRSH</stp>
        <tr r="B203" s="1"/>
      </tp>
      <tp>
        <v>0.87</v>
        <stp/>
        <stp>ASK</stp>
        <stp>WBUY</stp>
        <tr r="H204" s="1"/>
      </tp>
      <tp>
        <v>7.8970000000000002</v>
        <stp/>
        <stp>MARK</stp>
        <stp>PCT</stp>
        <tr r="C167" s="1"/>
      </tp>
      <tp t="s">
        <v>-1.40%</v>
        <stp/>
        <stp>MARK_PERCENT_CHANGE</stp>
        <stp>LAES</stp>
        <tr r="E83" s="1"/>
      </tp>
      <tp>
        <v>3.0200999999999998</v>
        <stp/>
        <stp>MARK</stp>
        <stp>PBM</stp>
        <tr r="C79" s="1"/>
        <tr r="C213" s="1"/>
      </tp>
      <tp>
        <v>-0.125</v>
        <stp/>
        <stp>MARK_CHANGE</stp>
        <stp>CTOS</stp>
        <tr r="D157" s="1"/>
      </tp>
      <tp t="s">
        <v>PARAZERO TECHNOLOGIE</v>
        <stp/>
        <stp>DESCRIPTION</stp>
        <stp>PRZO</stp>
        <tr r="B124" s="1"/>
      </tp>
      <tp t="s">
        <v>-3.76%</v>
        <stp/>
        <stp>MARK_PERCENT_CHANGE</stp>
        <stp>PACB</stp>
        <tr r="E226" s="1"/>
      </tp>
      <tp>
        <v>6298087</v>
        <stp/>
        <stp>VOLUME</stp>
        <stp>SES</stp>
        <tr r="F126" s="1"/>
      </tp>
      <tp>
        <v>39917</v>
        <stp/>
        <stp>VOLUME</stp>
        <stp>SMX</stp>
        <tr r="F118" s="1"/>
      </tp>
      <tp>
        <v>457505</v>
        <stp/>
        <stp>VOLUME</stp>
        <stp>SPT</stp>
        <tr r="F219" s="1"/>
      </tp>
      <tp>
        <v>16677</v>
        <stp/>
        <stp>VOLUME</stp>
        <stp>SST</stp>
        <tr r="F178" s="1"/>
      </tp>
      <tp t="s">
        <v>7 M</v>
        <stp/>
        <stp>MARKET_CAP</stp>
        <stp>AUUD</stp>
        <tr r="I181" s="1"/>
      </tp>
      <tp>
        <v>7.57</v>
        <stp/>
        <stp>BID</stp>
        <stp>QS</stp>
        <tr r="G170" s="1"/>
        <tr r="G132" s="1"/>
      </tp>
      <tp>
        <v>2.04</v>
        <stp/>
        <stp>ASK</stp>
        <stp>RR</stp>
        <tr r="H103" s="1"/>
      </tp>
      <tp>
        <v>9.51</v>
        <stp/>
        <stp>BID</stp>
        <stp>PD</stp>
        <tr r="G231" s="1"/>
      </tp>
      <tp>
        <v>9.52</v>
        <stp/>
        <stp>ASK</stp>
        <stp>PD</stp>
        <tr r="H231" s="1"/>
      </tp>
      <tp>
        <v>2.0299999999999998</v>
        <stp/>
        <stp>BID</stp>
        <stp>RR</stp>
        <tr r="G103" s="1"/>
      </tp>
      <tp>
        <v>7.58</v>
        <stp/>
        <stp>ASK</stp>
        <stp>QS</stp>
        <tr r="H132" s="1"/>
        <tr r="H170" s="1"/>
      </tp>
      <tp t="s">
        <v>SPRINKLR INC A</v>
        <stp/>
        <stp>DESCRIPTION</stp>
        <stp>CXM</stp>
        <tr r="B206" s="1"/>
      </tp>
      <tp>
        <v>9.5500000000000007</v>
        <stp/>
        <stp>BID</stp>
        <stp>TE</stp>
        <tr r="G94" s="1"/>
      </tp>
      <tp t="s">
        <v>COMMUNITY HEALTH SYS</v>
        <stp/>
        <stp>DESCRIPTION</stp>
        <stp>CYH</stp>
        <tr r="B109" s="1"/>
      </tp>
      <tp>
        <v>9.56</v>
        <stp/>
        <stp>ASK</stp>
        <stp>TE</stp>
        <tr r="H94" s="1"/>
      </tp>
      <tp t="s">
        <v>5.4 M</v>
        <stp/>
        <stp>MARKET_CAP</stp>
        <stp>HUBC</stp>
        <tr r="I190" s="1"/>
      </tp>
      <tp t="s">
        <v>665 M</v>
        <stp/>
        <stp>MARKET_CAP</stp>
        <stp>NUAI</stp>
        <tr r="I93" s="1"/>
      </tp>
      <tp>
        <v>4.79</v>
        <stp/>
        <stp>BID</stp>
        <stp>MX</stp>
        <tr r="G113" s="1"/>
      </tp>
      <tp>
        <v>4.8099999999999996</v>
        <stp/>
        <stp>ASK</stp>
        <stp>MX</stp>
        <tr r="H113" s="1"/>
      </tp>
      <tp>
        <v>1.3</v>
        <stp/>
        <stp>BID</stp>
        <stp>EU</stp>
        <tr r="G120" s="1"/>
      </tp>
      <tp t="s">
        <v>261 M</v>
        <stp/>
        <stp>MARKET_CAP</stp>
        <stp>FULC</stp>
        <tr r="I164" s="1"/>
      </tp>
      <tp t="s">
        <v>3,541 M</v>
        <stp/>
        <stp>MARKET_CAP</stp>
        <stp>BULL</stp>
        <tr r="I89" s="1"/>
      </tp>
      <tp>
        <v>1.31</v>
        <stp/>
        <stp>ASK</stp>
        <stp>EU</stp>
        <tr r="H120" s="1"/>
      </tp>
      <tp>
        <v>0.68</v>
        <stp/>
        <stp>ASK</stp>
        <stp>YCBD</stp>
        <tr r="H176" s="1"/>
      </tp>
      <tp>
        <v>0.77180000000000004</v>
        <stp/>
        <stp>BID</stp>
        <stp>BYND</stp>
        <tr r="G214" s="1"/>
      </tp>
      <tp>
        <v>0.05</v>
        <stp/>
        <stp>MARK_CHANGE</stp>
        <stp>AUUD</stp>
        <tr r="D181" s="1"/>
      </tp>
      <tp>
        <v>1.23</v>
        <stp/>
        <stp>ASK</stp>
        <stp>UCAR</stp>
        <tr r="H172" s="1"/>
      </tp>
      <tp>
        <v>1.58</v>
        <stp/>
        <stp>ASK</stp>
        <stp>OCGN</stp>
        <tr r="H147" s="1"/>
      </tp>
      <tp t="s">
        <v>ASANA INC A</v>
        <stp/>
        <stp>DESCRIPTION</stp>
        <stp>ASAN</stp>
        <tr r="B196" s="1"/>
      </tp>
      <tp>
        <v>5.66</v>
        <stp/>
        <stp>ASK</stp>
        <stp>ACDC</stp>
        <tr r="H142" s="1"/>
      </tp>
      <tp>
        <v>4.72</v>
        <stp/>
        <stp>ASK</stp>
        <stp>ACHR</stp>
        <tr r="H107" s="1"/>
      </tp>
      <tp>
        <v>7.76</v>
        <stp/>
        <stp>BID</stp>
        <stp>RYAM</stp>
        <tr r="G134" s="1"/>
      </tp>
      <tp t="s">
        <v>GSI TECHNOLOGY INC</v>
        <stp/>
        <stp>DESCRIPTION</stp>
        <stp>GSIT</stp>
        <tr r="B217" s="1"/>
      </tp>
      <tp>
        <v>5.25</v>
        <stp/>
        <stp>ASK</stp>
        <stp>ACRS</stp>
        <tr r="H135" s="1"/>
      </tp>
      <tp t="s">
        <v>ASCENT SOLAR TECHNOL Equity</v>
        <stp/>
        <stp>DESCRIPTION</stp>
        <stp>ASTI</stp>
        <tr r="B131" s="1"/>
        <tr r="B174" s="1"/>
      </tp>
      <tp t="s">
        <v>GOLDEN SUN TECHNOLOG A</v>
        <stp/>
        <stp>DESCRIPTION</stp>
        <stp>GSUN</stp>
        <tr r="B82" s="1"/>
      </tp>
      <tp>
        <v>0.15</v>
        <stp/>
        <stp>MARK_CHANGE</stp>
        <stp>HUBC</stp>
        <tr r="D190" s="1"/>
      </tp>
      <tp t="s">
        <v>ZSPACE INC</v>
        <stp/>
        <stp>DESCRIPTION</stp>
        <stp>ZSPC</stp>
        <tr r="B69" s="1"/>
      </tp>
      <tp>
        <v>3.08</v>
        <stp/>
        <stp>ASK</stp>
        <stp>GCTS</stp>
        <tr r="H149" s="1"/>
      </tp>
      <tp>
        <v>0.42499999999999999</v>
        <stp/>
        <stp>MARK_CHANGE</stp>
        <stp>NUAI</stp>
        <tr r="D93" s="1"/>
      </tp>
      <tp>
        <v>9.0500000000000007</v>
        <stp/>
        <stp>BID</stp>
        <stp>KYTX</stp>
        <tr r="G207" s="1"/>
      </tp>
      <tp>
        <v>0.185</v>
        <stp/>
        <stp>MARK_CHANGE</stp>
        <stp>FULC</stp>
        <tr r="D164" s="1"/>
      </tp>
      <tp>
        <v>-9.1399999999999995E-2</v>
        <stp/>
        <stp>MARK_CHANGE</stp>
        <stp>BULL</stp>
        <tr r="D89" s="1"/>
      </tp>
      <tp>
        <v>1.59</v>
        <stp/>
        <stp>ASK</stp>
        <stp>ACXP</stp>
        <tr r="H228" s="1"/>
      </tp>
      <tp>
        <v>438476</v>
        <stp/>
        <stp>VOLUME</stp>
        <stp>RES</stp>
        <tr r="F165" s="1"/>
      </tp>
      <tp>
        <v>5.77</v>
        <stp/>
        <stp>ASK</stp>
        <stp>RES</stp>
        <tr r="H165" s="1"/>
      </tp>
      <tp t="s">
        <v>+4.44%</v>
        <stp/>
        <stp>MARK_PERCENT_CHANGE</stp>
        <stp>SES</stp>
        <tr r="E126" s="1"/>
      </tp>
      <tp t="s">
        <v>LG DISPLAY CO LTD ADR</v>
        <stp/>
        <stp>DESCRIPTION</stp>
        <stp>LPL</stp>
        <tr r="B186" s="1"/>
      </tp>
      <tp t="s">
        <v>-3.45%</v>
        <stp/>
        <stp>MARK_PERCENT_CHANGE</stp>
        <stp>SMX</stp>
        <tr r="E118" s="1"/>
      </tp>
      <tp t="s">
        <v>1.4 M</v>
        <stp/>
        <stp>MARKET_CAP</stp>
        <stp>JZXN</stp>
        <tr r="I91" s="1"/>
      </tp>
      <tp t="s">
        <v>196 M</v>
        <stp/>
        <stp>MARKET_CAP</stp>
        <stp>BZAI</stp>
        <tr r="I218" s="1"/>
      </tp>
      <tp t="s">
        <v>+0.41%</v>
        <stp/>
        <stp>MARK_PERCENT_CHANGE</stp>
        <stp>SST</stp>
        <tr r="E178" s="1"/>
      </tp>
      <tp t="s">
        <v>LITHIUM AMERS CORP</v>
        <stp/>
        <stp>DESCRIPTION</stp>
        <stp>LAC</stp>
        <tr r="B90" s="1"/>
      </tp>
      <tp t="s">
        <v>-2.09%</v>
        <stp/>
        <stp>MARK_PERCENT_CHANGE</stp>
        <stp>SPT</stp>
        <tr r="E219" s="1"/>
      </tp>
      <tp>
        <v>7.83</v>
        <stp/>
        <stp>ASK</stp>
        <stp>ULCC</stp>
        <tr r="H153" s="1"/>
      </tp>
      <tp>
        <v>1.21</v>
        <stp/>
        <stp>ASK</stp>
        <stp>ELAB</stp>
        <tr r="H119" s="1"/>
      </tp>
      <tp>
        <v>0.47570000000000001</v>
        <stp/>
        <stp>ASK</stp>
        <stp>SLAI</stp>
        <tr r="H81" s="1"/>
      </tp>
      <tp>
        <v>3.99</v>
        <stp/>
        <stp>ASK</stp>
        <stp>ELDN</stp>
        <tr r="H225" s="1"/>
      </tp>
      <tp>
        <v>2.58</v>
        <stp/>
        <stp>ASK</stp>
        <stp>SLDP</stp>
        <tr r="H125" s="1"/>
      </tp>
      <tp>
        <v>1.72</v>
        <stp/>
        <stp>ASK</stp>
        <stp>WLDS</stp>
        <tr r="H215" s="1"/>
      </tp>
      <tp>
        <v>7.66</v>
        <stp/>
        <stp>ASK</stp>
        <stp>MLEC</stp>
        <tr r="H143" s="1"/>
      </tp>
      <tp t="s">
        <v>+0.86%</v>
        <stp/>
        <stp>MARK_PERCENT_CHANGE</stp>
        <stp>SOUN</stp>
        <tr r="E99" s="1"/>
      </tp>
      <tp>
        <v>1.54</v>
        <stp/>
        <stp>ASK</stp>
        <stp>CLIK</stp>
        <tr r="H193" s="1"/>
      </tp>
      <tp>
        <v>2.16</v>
        <stp/>
        <stp>ASK</stp>
        <stp>GLND</stp>
        <tr r="H156" s="1"/>
      </tp>
      <tp>
        <v>1.38</v>
        <stp/>
        <stp>ASK</stp>
        <stp>SLNH</stp>
        <tr r="H148" s="1"/>
        <tr r="H88" s="1"/>
      </tp>
      <tp t="s">
        <v>+5.44%</v>
        <stp/>
        <stp>MARK_PERCENT_CHANGE</stp>
        <stp>KOPN</stp>
        <tr r="E169" s="1"/>
      </tp>
      <tp>
        <v>-0.05</v>
        <stp/>
        <stp>MARK_CHANGE</stp>
        <stp>JZXN</stp>
        <tr r="D91" s="1"/>
      </tp>
      <tp t="s">
        <v>-5.50%</v>
        <stp/>
        <stp>MARK_PERCENT_CHANGE</stp>
        <stp>EOSE</stp>
        <tr r="E102" s="1"/>
      </tp>
      <tp t="s">
        <v>+6.70%</v>
        <stp/>
        <stp>MARK_PERCENT_CHANGE</stp>
        <stp>DOMO</stp>
        <tr r="E227" s="1"/>
      </tp>
      <tp t="s">
        <v>+1.32%</v>
        <stp/>
        <stp>MARK_PERCENT_CHANGE</stp>
        <stp>ROLR</stp>
        <tr r="E114" s="1"/>
      </tp>
      <tp>
        <v>1.01</v>
        <stp/>
        <stp>ASK</stp>
        <stp>ELPW</stp>
        <tr r="H73" s="1"/>
        <tr r="H201" s="1"/>
      </tp>
      <tp t="s">
        <v>-3.18%</v>
        <stp/>
        <stp>MARK_PERCENT_CHANGE</stp>
        <stp>EONR</stp>
        <tr r="E111" s="1"/>
      </tp>
      <tp>
        <v>2.78</v>
        <stp/>
        <stp>ASK</stp>
        <stp>PLUG</stp>
        <tr r="H104" s="1"/>
      </tp>
      <tp>
        <v>-5.0000000000000001E-3</v>
        <stp/>
        <stp>MARK_CHANGE</stp>
        <stp>BZAI</stp>
        <tr r="D218" s="1"/>
      </tp>
      <tp>
        <v>9.89</v>
        <stp/>
        <stp>BID</stp>
        <stp>AVTR</stp>
        <tr r="G211" s="1"/>
      </tp>
      <tp t="s">
        <v>+3.71%</v>
        <stp/>
        <stp>MARK_PERCENT_CHANGE</stp>
        <stp>JOBY</stp>
        <tr r="E105" s="1"/>
      </tp>
      <tp t="s">
        <v>-3.45%</v>
        <stp/>
        <stp>MARK_PERCENT_CHANGE</stp>
        <stp>LOBO</stp>
        <tr r="E75" s="1"/>
      </tp>
      <tp>
        <v>0.99860000000000004</v>
        <stp/>
        <stp>ASK</stp>
        <stp>SES</stp>
        <tr r="H126" s="1"/>
      </tp>
      <tp>
        <v>2.1000000000000001E-2</v>
        <stp/>
        <stp>MARK_CHANGE</stp>
        <stp>NPT</stp>
        <tr r="D183" s="1"/>
      </tp>
      <tp t="s">
        <v>-0.69%</v>
        <stp/>
        <stp>MARK_PERCENT_CHANGE</stp>
        <stp>RES</stp>
        <tr r="E165" s="1"/>
      </tp>
      <tp>
        <v>13.27</v>
        <stp/>
        <stp>ASK</stp>
        <stp>SMX</stp>
        <tr r="H118" s="1"/>
      </tp>
      <tp>
        <v>7.51</v>
        <stp/>
        <stp>ASK</stp>
        <stp>SPT</stp>
        <tr r="H219" s="1"/>
      </tp>
      <tp>
        <v>2.4500000000000002</v>
        <stp/>
        <stp>ASK</stp>
        <stp>SST</stp>
        <tr r="H178" s="1"/>
      </tp>
      <tp>
        <v>3</v>
        <stp/>
        <stp>BID</stp>
        <stp>PBM</stp>
        <tr r="G79" s="1"/>
        <tr r="G213" s="1"/>
      </tp>
      <tp>
        <v>7.89</v>
        <stp/>
        <stp>BID</stp>
        <stp>PCT</stp>
        <tr r="G167" s="1"/>
      </tp>
      <tp>
        <v>4.71</v>
        <stp/>
        <stp>ASK</stp>
        <stp>AMBP</stp>
        <tr r="H159" s="1"/>
      </tp>
      <tp>
        <v>8.3000000000000007</v>
        <stp/>
        <stp>ASK</stp>
        <stp>NMAX</stp>
        <tr r="H185" s="1"/>
        <tr r="H78" s="1"/>
      </tp>
      <tp>
        <v>0.74670000000000003</v>
        <stp/>
        <stp>ASK</stp>
        <stp>TMDE</stp>
        <tr r="H116" s="1"/>
      </tp>
      <tp>
        <v>0.64990000000000003</v>
        <stp/>
        <stp>ASK</stp>
        <stp>PMEC</stp>
        <tr r="H129" s="1"/>
      </tp>
      <tp t="s">
        <v>-6.99%</v>
        <stp/>
        <stp>MARK_PERCENT_CHANGE</stp>
        <stp>MNTS</stp>
        <tr r="E145" s="1"/>
      </tp>
      <tp t="s">
        <v>+6.51%</v>
        <stp/>
        <stp>MARK_PERCENT_CHANGE</stp>
        <stp>ZNTL</stp>
        <tr r="E166" s="1"/>
      </tp>
      <tp t="s">
        <v>+1.23%</v>
        <stp/>
        <stp>MARK_PERCENT_CHANGE</stp>
        <stp>ENVX</stp>
        <tr r="E110" s="1"/>
      </tp>
      <tp t="s">
        <v>-1.09%</v>
        <stp/>
        <stp>MARK_PERCENT_CHANGE</stp>
        <stp>ENVB</stp>
        <tr r="E177" s="1"/>
      </tp>
      <tp>
        <v>2.2799999999999998</v>
        <stp/>
        <stp>ASK</stp>
        <stp>CMND</stp>
        <tr r="H77" s="1"/>
      </tp>
      <tp t="s">
        <v>-1.05%</v>
        <stp/>
        <stp>MARK_PERCENT_CHANGE</stp>
        <stp>GNPX</stp>
        <tr r="E160" s="1"/>
      </tp>
      <tp>
        <v>0.496</v>
        <stp/>
        <stp>ASK</stp>
        <stp>RMSG</stp>
        <tr r="H202" s="1"/>
      </tp>
      <tp>
        <v>7.01</v>
        <stp/>
        <stp>ASK</stp>
        <stp>IMSR</stp>
        <tr r="H127" s="1"/>
      </tp>
      <tp t="s">
        <v>+0.83%</v>
        <stp/>
        <stp>MARK_PERCENT_CHANGE</stp>
        <stp>NNOX</stp>
        <tr r="E212" s="1"/>
      </tp>
      <tp>
        <v>14.62</v>
        <stp/>
        <stp>ASK</stp>
        <stp>CMPS</stp>
        <tr r="H137" s="1"/>
      </tp>
      <tp t="s">
        <v>-3.32%</v>
        <stp/>
        <stp>MARK_PERCENT_CHANGE</stp>
        <stp>ANNA</stp>
        <tr r="E85" s="1"/>
      </tp>
      <tp t="s">
        <v>+14.76%</v>
        <stp/>
        <stp>MARK_PERCENT_CHANGE</stp>
        <stp>INDI</stp>
        <tr r="E161" s="1"/>
      </tp>
      <tp t="s">
        <v>+1796.59%</v>
        <stp/>
        <stp>MARK_PERCENT_CHANGE</stp>
        <stp>QNCX</stp>
        <tr r="E154" s="1"/>
      </tp>
      <tp t="s">
        <v>TEXXON HLDG LTD</v>
        <stp/>
        <stp>DESCRIPTION</stp>
        <stp>NPT</stp>
        <tr r="B183" s="1"/>
      </tp>
      <tp>
        <v>3.18</v>
        <stp/>
        <stp>ASK</stp>
        <stp>PBM</stp>
        <tr r="H79" s="1"/>
        <tr r="H213" s="1"/>
      </tp>
      <tp>
        <v>7.9</v>
        <stp/>
        <stp>ASK</stp>
        <stp>PCT</stp>
        <tr r="H167" s="1"/>
      </tp>
      <tp>
        <v>2.4</v>
        <stp/>
        <stp>BID</stp>
        <stp>SST</stp>
        <tr r="G178" s="1"/>
      </tp>
      <tp>
        <v>7.5</v>
        <stp/>
        <stp>BID</stp>
        <stp>SPT</stp>
        <tr r="G219" s="1"/>
      </tp>
      <tp>
        <v>13.01</v>
        <stp/>
        <stp>BID</stp>
        <stp>SMX</stp>
        <tr r="G118" s="1"/>
      </tp>
      <tp>
        <v>2.39</v>
        <stp/>
        <stp>MARK</stp>
        <stp>QVCGP</stp>
        <tr r="C191" s="1"/>
      </tp>
      <tp t="s">
        <v>loading</v>
        <stp/>
        <stp>CUSTOM3</stp>
        <stp>QVCGP</stp>
        <tr r="J191" s="1"/>
      </tp>
      <tp>
        <v>0.99739999999999995</v>
        <stp/>
        <stp>BID</stp>
        <stp>SES</stp>
        <tr r="G126" s="1"/>
      </tp>
      <tp>
        <v>18.29</v>
        <stp/>
        <stp>ASK</stp>
        <stp>QNCX</stp>
        <tr r="H154" s="1"/>
      </tp>
      <tp>
        <v>11.82</v>
        <stp/>
        <stp>BID</stp>
        <stp>CTOS</stp>
        <tr r="G157" s="1"/>
      </tp>
      <tp>
        <v>4.32</v>
        <stp/>
        <stp>ASK</stp>
        <stp>INDI</stp>
        <tr r="H161" s="1"/>
      </tp>
      <tp>
        <v>2.81</v>
        <stp/>
        <stp>ASK</stp>
        <stp>ANNA</stp>
        <tr r="H85" s="1"/>
      </tp>
      <tp t="s">
        <v>-3.09%</v>
        <stp/>
        <stp>MARK_PERCENT_CHANGE</stp>
        <stp>CMPS</stp>
        <tr r="E137" s="1"/>
      </tp>
      <tp>
        <v>1.22</v>
        <stp/>
        <stp>ASK</stp>
        <stp>NNOX</stp>
        <tr r="H212" s="1"/>
      </tp>
      <tp t="s">
        <v>-0.14%</v>
        <stp/>
        <stp>MARK_PERCENT_CHANGE</stp>
        <stp>IMSR</stp>
        <tr r="E127" s="1"/>
      </tp>
      <tp t="s">
        <v>+2.50%</v>
        <stp/>
        <stp>MARK_PERCENT_CHANGE</stp>
        <stp>RMSG</stp>
        <tr r="E202" s="1"/>
      </tp>
      <tp>
        <v>1.8</v>
        <stp/>
        <stp>BID</stp>
        <stp>BTBT</stp>
        <tr r="G100" s="1"/>
      </tp>
      <tp>
        <v>0.50980000000000003</v>
        <stp/>
        <stp>ASK</stp>
        <stp>GNPX</stp>
        <tr r="H160" s="1"/>
      </tp>
      <tp t="s">
        <v>-3.91%</v>
        <stp/>
        <stp>MARK_PERCENT_CHANGE</stp>
        <stp>CMND</stp>
        <tr r="E77" s="1"/>
      </tp>
      <tp>
        <v>1.4</v>
        <stp/>
        <stp>ASK</stp>
        <stp>ENVB</stp>
        <tr r="H177" s="1"/>
      </tp>
      <tp>
        <v>6.18</v>
        <stp/>
        <stp>ASK</stp>
        <stp>ENVX</stp>
        <tr r="H110" s="1"/>
      </tp>
      <tp>
        <v>4.92</v>
        <stp/>
        <stp>ASK</stp>
        <stp>ZNTL</stp>
        <tr r="H166" s="1"/>
      </tp>
      <tp>
        <v>6.81</v>
        <stp/>
        <stp>ASK</stp>
        <stp>MNTS</stp>
        <tr r="H145" s="1"/>
      </tp>
      <tp t="s">
        <v>-10.13%</v>
        <stp/>
        <stp>MARK_PERCENT_CHANGE</stp>
        <stp>PMEC</stp>
        <tr r="E129" s="1"/>
      </tp>
      <tp t="s">
        <v>-7.67%</v>
        <stp/>
        <stp>MARK_PERCENT_CHANGE</stp>
        <stp>TMDE</stp>
        <tr r="E116" s="1"/>
      </tp>
      <tp t="s">
        <v>+6.56%</v>
        <stp/>
        <stp>MARK_PERCENT_CHANGE</stp>
        <stp>NMAX</stp>
        <tr r="E78" s="1"/>
        <tr r="E185" s="1"/>
      </tp>
      <tp>
        <v>11.17</v>
        <stp/>
        <stp>BID</stp>
        <stp>NTSK</stp>
        <tr r="G224" s="1"/>
      </tp>
      <tp>
        <v>17.3</v>
        <stp/>
        <stp>BID</stp>
        <stp>FTRE</stp>
        <tr r="G200" s="1"/>
      </tp>
      <tp t="s">
        <v>+2.61%</v>
        <stp/>
        <stp>MARK_PERCENT_CHANGE</stp>
        <stp>AMBP</stp>
        <tr r="E159" s="1"/>
      </tp>
      <tp>
        <v>-0.125</v>
        <stp/>
        <stp>MARK_CHANGE</stp>
        <stp>LPL</stp>
        <tr r="D186" s="1"/>
      </tp>
      <tp t="s">
        <v>+3.63%</v>
        <stp/>
        <stp>MARK_PERCENT_CHANGE</stp>
        <stp>PCT</stp>
        <tr r="E167" s="1"/>
      </tp>
      <tp t="s">
        <v>-2.58%</v>
        <stp/>
        <stp>MARK_PERCENT_CHANGE</stp>
        <stp>PBM</stp>
        <tr r="E79" s="1"/>
        <tr r="E213" s="1"/>
      </tp>
      <tp t="s">
        <v>551 M</v>
        <stp/>
        <stp>MARKET_CAP</stp>
        <stp>KYTX</stp>
        <tr r="I207" s="1"/>
      </tp>
      <tp>
        <v>0.09</v>
        <stp/>
        <stp>MARK_CHANGE</stp>
        <stp>LAC</stp>
        <tr r="D90" s="1"/>
      </tp>
      <tp t="s">
        <v>524 M</v>
        <stp/>
        <stp>MARKET_CAP</stp>
        <stp>RYAM</stp>
        <tr r="I134" s="1"/>
      </tp>
      <tp t="s">
        <v>loading</v>
        <stp/>
        <stp>CUSTOM2</stp>
        <stp>QVCGP</stp>
        <tr r="K191" s="1"/>
      </tp>
      <tp>
        <v>5.76</v>
        <stp/>
        <stp>BID</stp>
        <stp>RES</stp>
        <tr r="G165" s="1"/>
      </tp>
      <tp t="s">
        <v>398 M</v>
        <stp/>
        <stp>MARKET_CAP</stp>
        <stp>BYND</stp>
        <tr r="I214" s="1"/>
      </tp>
      <tp>
        <v>0.64429999999999998</v>
        <stp/>
        <stp>ASK</stp>
        <stp>LOBO</stp>
        <tr r="H75" s="1"/>
      </tp>
      <tp>
        <v>8.9600000000000009</v>
        <stp/>
        <stp>ASK</stp>
        <stp>JOBY</stp>
        <tr r="H105" s="1"/>
      </tp>
      <tp>
        <v>3.91</v>
        <stp/>
        <stp>BID</stp>
        <stp>FULC</stp>
        <tr r="G164" s="1"/>
      </tp>
      <tp>
        <v>6.65</v>
        <stp/>
        <stp>BID</stp>
        <stp>BULL</stp>
        <tr r="G89" s="1"/>
      </tp>
      <tp>
        <v>0.28000000000000003</v>
        <stp/>
        <stp>MARK_CHANGE</stp>
        <stp>KYTX</stp>
        <tr r="D207" s="1"/>
      </tp>
      <tp t="s">
        <v>+6.99%</v>
        <stp/>
        <stp>MARK_PERCENT_CHANGE</stp>
        <stp>PLUG</stp>
        <tr r="E104" s="1"/>
      </tp>
      <tp>
        <v>6.56</v>
        <stp/>
        <stp>BID</stp>
        <stp>NUAI</stp>
        <tr r="G93" s="1"/>
      </tp>
      <tp>
        <v>0.4592</v>
        <stp/>
        <stp>ASK</stp>
        <stp>EONR</stp>
        <tr r="H111" s="1"/>
      </tp>
      <tp t="s">
        <v>-1.54%</v>
        <stp/>
        <stp>MARK_PERCENT_CHANGE</stp>
        <stp>ELPW</stp>
        <tr r="E73" s="1"/>
        <tr r="E201" s="1"/>
      </tp>
      <tp>
        <v>6.2</v>
        <stp/>
        <stp>ASK</stp>
        <stp>ROLR</stp>
        <tr r="H114" s="1"/>
      </tp>
      <tp>
        <v>1.58</v>
        <stp/>
        <stp>BID</stp>
        <stp>HUBC</stp>
        <tr r="G190" s="1"/>
      </tp>
      <tp>
        <v>3.05</v>
        <stp/>
        <stp>ASK</stp>
        <stp>DOMO</stp>
        <tr r="H227" s="1"/>
      </tp>
      <tp>
        <v>5.76</v>
        <stp/>
        <stp>ASK</stp>
        <stp>EOSE</stp>
        <tr r="H102" s="1"/>
      </tp>
      <tp>
        <v>4.5599999999999996</v>
        <stp/>
        <stp>ASK</stp>
        <stp>KOPN</stp>
        <tr r="H169" s="1"/>
      </tp>
      <tp t="s">
        <v>-1.79%</v>
        <stp/>
        <stp>MARK_PERCENT_CHANGE</stp>
        <stp>SLNH</stp>
        <tr r="E88" s="1"/>
        <tr r="E148" s="1"/>
      </tp>
      <tp t="s">
        <v>-8.30%</v>
        <stp/>
        <stp>MARK_PERCENT_CHANGE</stp>
        <stp>GLND</stp>
        <tr r="E156" s="1"/>
      </tp>
      <tp t="s">
        <v>-0.65%</v>
        <stp/>
        <stp>MARK_PERCENT_CHANGE</stp>
        <stp>CLIK</stp>
        <tr r="E193" s="1"/>
      </tp>
      <tp>
        <v>-0.14000000000000001</v>
        <stp/>
        <stp>MARK_CHANGE</stp>
        <stp>RYAM</stp>
        <tr r="D134" s="1"/>
      </tp>
      <tp>
        <v>6.46</v>
        <stp/>
        <stp>ASK</stp>
        <stp>SOUN</stp>
        <tr r="H99" s="1"/>
      </tp>
      <tp>
        <v>1.3</v>
        <stp/>
        <stp>BID</stp>
        <stp>AUUD</stp>
        <tr r="G181" s="1"/>
      </tp>
      <tp>
        <v>6.3E-2</v>
        <stp/>
        <stp>MARK_CHANGE</stp>
        <stp>BYND</stp>
        <tr r="D214" s="1"/>
      </tp>
      <tp t="s">
        <v>-8.28%</v>
        <stp/>
        <stp>MARK_PERCENT_CHANGE</stp>
        <stp>MLEC</stp>
        <tr r="E143" s="1"/>
      </tp>
      <tp t="s">
        <v>-0.96%</v>
        <stp/>
        <stp>MARK_PERCENT_CHANGE</stp>
        <stp>SLDP</stp>
        <tr r="E125" s="1"/>
      </tp>
      <tp t="s">
        <v>-1.15%</v>
        <stp/>
        <stp>MARK_PERCENT_CHANGE</stp>
        <stp>WLDS</stp>
        <tr r="E215" s="1"/>
      </tp>
      <tp t="s">
        <v>+2.84%</v>
        <stp/>
        <stp>MARK_PERCENT_CHANGE</stp>
        <stp>ELDN</stp>
        <tr r="E225" s="1"/>
      </tp>
      <tp t="s">
        <v>-19.05%</v>
        <stp/>
        <stp>MARK_PERCENT_CHANGE</stp>
        <stp>SLAI</stp>
        <tr r="E81" s="1"/>
      </tp>
      <tp t="s">
        <v>-0.41%</v>
        <stp/>
        <stp>MARK_PERCENT_CHANGE</stp>
        <stp>ELAB</stp>
        <tr r="E119" s="1"/>
      </tp>
      <tp t="s">
        <v>+4.27%</v>
        <stp/>
        <stp>MARK_PERCENT_CHANGE</stp>
        <stp>ULCC</stp>
        <tr r="E153" s="1"/>
      </tp>
      <tp t="s">
        <v>HERTZ GLOBAL HLDGS I</v>
        <stp/>
        <stp>DESCRIPTION</stp>
        <stp>HTZ</stp>
        <tr r="B230" s="1"/>
      </tp>
      <tp t="s">
        <v>HELIX ENERGY SOLUTIO</v>
        <stp/>
        <stp>DESCRIPTION</stp>
        <stp>HLX</stp>
        <tr r="B150" s="1"/>
      </tp>
      <tp>
        <v>9.06</v>
        <stp/>
        <stp>BID</stp>
        <stp>FRMI</stp>
        <tr r="G158" s="1"/>
      </tp>
      <tp>
        <v>1.63</v>
        <stp/>
        <stp>BID</stp>
        <stp>TRON</stp>
        <tr r="G208" s="1"/>
      </tp>
      <tp>
        <v>1.1599999999999999</v>
        <stp/>
        <stp>BID</stp>
        <stp>VRNO</stp>
        <tr r="G205" s="1"/>
      </tp>
      <tp>
        <v>1.1399999999999999</v>
        <stp/>
        <stp>BID</stp>
        <stp>LRHC</stp>
        <tr r="G187" s="1"/>
      </tp>
      <tp>
        <v>6.87</v>
        <stp/>
        <stp>BID</stp>
        <stp>KREF</stp>
        <tr r="G188" s="1"/>
      </tp>
      <tp>
        <v>1.18</v>
        <stp/>
        <stp>BID</stp>
        <stp>SRFM</stp>
        <tr r="G95" s="1"/>
        <tr r="G232" s="1"/>
      </tp>
      <tp>
        <v>9.9</v>
        <stp/>
        <stp>ASK</stp>
        <stp>SHLS</stp>
        <tr r="H155" s="1"/>
      </tp>
      <tp>
        <v>0.69140000000000001</v>
        <stp/>
        <stp>BID</stp>
        <stp>ORBS</stp>
        <tr r="G92" s="1"/>
      </tp>
      <tp>
        <v>0.49120000000000003</v>
        <stp/>
        <stp>BID</stp>
        <stp>PRZO</stp>
        <tr r="G124" s="1"/>
      </tp>
      <tp>
        <v>10.14</v>
        <stp/>
        <stp>BID</stp>
        <stp>FRSH</stp>
        <tr r="G203" s="1"/>
      </tp>
      <tp t="s">
        <v>IPOWER INC</v>
        <stp/>
        <stp>DESCRIPTION</stp>
        <stp>IPW</stp>
        <tr r="B198" s="1"/>
      </tp>
      <tp>
        <v>7.86</v>
        <stp/>
        <stp>BID</stp>
        <stp>TWI</stp>
        <tr r="G136" s="1"/>
      </tp>
      <tp>
        <v>0.84030000000000005</v>
        <stp/>
        <stp>BID</stp>
        <stp>TRX</stp>
        <tr r="G97" s="1"/>
      </tp>
      <tp>
        <v>2.1434000000000002</v>
        <stp/>
        <stp>MARK_CHANGE</stp>
        <stp>JEM</stp>
        <tr r="D199" s="1"/>
      </tp>
      <tp t="s">
        <v>INNVENTURE INC</v>
        <stp/>
        <stp>DESCRIPTION</stp>
        <stp>INV</stp>
        <tr r="B163" s="1"/>
      </tp>
      <tp t="s">
        <v>INHIBIKASE THERAPEUT Equity</v>
        <stp/>
        <stp>DESCRIPTION</stp>
        <stp>IKT</stp>
        <tr r="B144" s="1"/>
      </tp>
      <tp>
        <v>0.8165</v>
        <stp/>
        <stp>ASK</stp>
        <stp>BIAF</stp>
        <tr r="H229" s="1"/>
      </tp>
      <tp>
        <v>7.59</v>
        <stp/>
        <stp>BID</stp>
        <stp>GSIT</stp>
        <tr r="G217" s="1"/>
      </tp>
      <tp t="s">
        <v>RAYONIER ADVANCED MA</v>
        <stp/>
        <stp>DESCRIPTION</stp>
        <stp>RYAM</stp>
        <tr r="B134" s="1"/>
      </tp>
      <tp>
        <v>2.79</v>
        <stp/>
        <stp>ASK</stp>
        <stp>SIDU</stp>
        <tr r="H223" s="1"/>
        <tr r="H115" s="1"/>
      </tp>
      <tp>
        <v>0.67869999999999997</v>
        <stp/>
        <stp>ASK</stp>
        <stp>KIDZ</stp>
        <tr r="H74" s="1"/>
      </tp>
      <tp t="s">
        <v>BEYOND MEAT INC</v>
        <stp/>
        <stp>DESCRIPTION</stp>
        <stp>BYND</stp>
        <tr r="B214" s="1"/>
      </tp>
      <tp>
        <v>6.93</v>
        <stp/>
        <stp>BID</stp>
        <stp>ASAN</stp>
        <tr r="G196" s="1"/>
      </tp>
      <tp t="s">
        <v>KYVERNA THERAPEUTICS</v>
        <stp/>
        <stp>DESCRIPTION</stp>
        <stp>KYTX</stp>
        <tr r="B207" s="1"/>
      </tp>
      <tp>
        <v>3.66</v>
        <stp/>
        <stp>ASK</stp>
        <stp>HIVE</stp>
        <tr r="H98" s="1"/>
      </tp>
      <tp t="s">
        <v>-3.82%</v>
        <stp/>
        <stp>MARK_PERCENT_CHANGE</stp>
        <stp>FJET</stp>
        <tr r="E195" s="1"/>
      </tp>
      <tp>
        <v>0.31869999999999998</v>
        <stp/>
        <stp>BID</stp>
        <stp>GSUN</stp>
        <tr r="G82" s="1"/>
      </tp>
      <tp>
        <v>5.03</v>
        <stp/>
        <stp>BID</stp>
        <stp>ASTI</stp>
        <tr r="G174" s="1"/>
        <tr r="G131" s="1"/>
      </tp>
      <tp>
        <v>1.98</v>
        <stp/>
        <stp>ASK</stp>
        <stp>AIXI</stp>
        <tr r="H130" s="1"/>
        <tr r="H179" s="1"/>
      </tp>
      <tp>
        <v>0.44379999999999997</v>
        <stp/>
        <stp>ASK</stp>
        <stp>BIYA</stp>
        <tr r="H71" s="1"/>
      </tp>
      <tp>
        <v>0.18540000000000001</v>
        <stp/>
        <stp>BID</stp>
        <stp>ZSPC</stp>
        <tr r="G69" s="1"/>
      </tp>
      <tp>
        <v>-0.08</v>
        <stp/>
        <stp>MARK_CHANGE</stp>
        <stp>IPW</stp>
        <tr r="D198" s="1"/>
      </tp>
      <tp t="s">
        <v>707 CAYMAN HLDGS LTD A</v>
        <stp/>
        <stp>DESCRIPTION</stp>
        <stp>JEM</stp>
        <tr r="B199" s="1"/>
      </tp>
      <tp>
        <v>7.88</v>
        <stp/>
        <stp>ASK</stp>
        <stp>TWI</stp>
        <tr r="H136" s="1"/>
      </tp>
      <tp>
        <v>0.84209999999999996</v>
        <stp/>
        <stp>ASK</stp>
        <stp>TRX</stp>
        <tr r="H97" s="1"/>
      </tp>
      <tp>
        <v>7.0000000000000007E-2</v>
        <stp/>
        <stp>MARK_CHANGE</stp>
        <stp>IKT</stp>
        <tr r="D144" s="1"/>
      </tp>
      <tp>
        <v>-0.21</v>
        <stp/>
        <stp>MARK_CHANGE</stp>
        <stp>INV</stp>
        <tr r="D163" s="1"/>
      </tp>
      <tp>
        <v>6.61</v>
        <stp/>
        <stp>BID</stp>
        <stp>CPIX</stp>
        <tr r="G180" s="1"/>
      </tp>
      <tp t="s">
        <v>+57.34%</v>
        <stp/>
        <stp>MARK_PERCENT_CHANGE</stp>
        <stp>BIYA</stp>
        <tr r="E71" s="1"/>
      </tp>
      <tp t="s">
        <v>+1.54%</v>
        <stp/>
        <stp>MARK_PERCENT_CHANGE</stp>
        <stp>AIXI</stp>
        <tr r="E130" s="1"/>
        <tr r="E179" s="1"/>
      </tp>
      <tp t="s">
        <v>BLAIZE HLDGS INC</v>
        <stp/>
        <stp>DESCRIPTION</stp>
        <stp>BZAI</stp>
        <tr r="B218" s="1"/>
      </tp>
      <tp>
        <v>5.44</v>
        <stp/>
        <stp>ASK</stp>
        <stp>FJET</stp>
        <tr r="H195" s="1"/>
      </tp>
      <tp>
        <v>4.72</v>
        <stp/>
        <stp>BID</stp>
        <stp>OPEN</stp>
        <tr r="G101" s="1"/>
      </tp>
      <tp>
        <v>1.98</v>
        <stp/>
        <stp>BID</stp>
        <stp>RPGL</stp>
        <tr r="G76" s="1"/>
      </tp>
      <tp t="s">
        <v>-2.79%</v>
        <stp/>
        <stp>MARK_PERCENT_CHANGE</stp>
        <stp>HIVE</stp>
        <tr r="E98" s="1"/>
      </tp>
      <tp t="s">
        <v>-6.69%</v>
        <stp/>
        <stp>MARK_PERCENT_CHANGE</stp>
        <stp>KIDZ</stp>
        <tr r="E74" s="1"/>
      </tp>
      <tp t="s">
        <v>-2.79%</v>
        <stp/>
        <stp>MARK_PERCENT_CHANGE</stp>
        <stp>SIDU</stp>
        <tr r="E115" s="1"/>
        <tr r="E223" s="1"/>
      </tp>
      <tp t="s">
        <v>JIUZI HLDGS INC</v>
        <stp/>
        <stp>DESCRIPTION</stp>
        <stp>JZXN</stp>
        <tr r="B91" s="1"/>
      </tp>
      <tp t="s">
        <v>+1.11%</v>
        <stp/>
        <stp>MARK_PERCENT_CHANGE</stp>
        <stp>BIAF</stp>
        <tr r="E229" s="1"/>
      </tp>
      <tp>
        <v>2.2999999999999998</v>
        <stp/>
        <stp>BID</stp>
        <stp>IPST</stp>
        <tr r="G182" s="1"/>
      </tp>
      <tp>
        <v>-0.13500000000000001</v>
        <stp/>
        <stp>MARK_CHANGE</stp>
        <stp>HTZ</stp>
        <tr r="D230" s="1"/>
      </tp>
      <tp t="s">
        <v>+0.38%</v>
        <stp/>
        <stp>MARK_PERCENT_CHANGE</stp>
        <stp>TWI</stp>
        <tr r="E136" s="1"/>
      </tp>
      <tp t="s">
        <v>+0.08%</v>
        <stp/>
        <stp>MARK_PERCENT_CHANGE</stp>
        <stp>TRX</stp>
        <tr r="E97" s="1"/>
      </tp>
      <tp>
        <v>0.1</v>
        <stp/>
        <stp>MARK_CHANGE</stp>
        <stp>HLX</stp>
        <tr r="D150" s="1"/>
      </tp>
      <tp t="s">
        <v>+6.46%</v>
        <stp/>
        <stp>MARK_PERCENT_CHANGE</stp>
        <stp>SHLS</stp>
        <tr r="E155" s="1"/>
      </tp>
      <tp t="s">
        <v>9,211 M</v>
        <stp/>
        <stp>MARKET_CAP</stp>
        <stp>IBRX</stp>
        <tr r="I87" s="1"/>
      </tp>
      <tp>
        <v>3.25</v>
        <stp/>
        <stp>ASK</stp>
        <stp>JEM</stp>
        <tr r="H199" s="1"/>
      </tp>
      <tp t="s">
        <v>1,974 M</v>
        <stp/>
        <stp>MARKET_CAP</stp>
        <stp>ABSI</stp>
        <tr r="I138" s="1"/>
      </tp>
      <tp t="s">
        <v>TITAN INTL INC DEL</v>
        <stp/>
        <stp>DESCRIPTION</stp>
        <stp>TWI</stp>
        <tr r="B136" s="1"/>
      </tp>
      <tp t="s">
        <v>TRX GOLD CORP</v>
        <stp/>
        <stp>DESCRIPTION</stp>
        <stp>TRX</stp>
        <tr r="B97" s="1"/>
      </tp>
      <tp t="s">
        <v>720 M</v>
        <stp/>
        <stp>MARKET_CAP</stp>
        <stp>ABTC</stp>
        <tr r="I106" s="1"/>
      </tp>
      <tp t="s">
        <v>3.5 M</v>
        <stp/>
        <stp>MARKET_CAP</stp>
        <stp>ABTS</stp>
        <tr r="I194" s="1"/>
      </tp>
      <tp t="s">
        <v>4.7 M</v>
        <stp/>
        <stp>MARKET_CAP</stp>
        <stp>WBUY</stp>
        <tr r="I204" s="1"/>
      </tp>
      <tp>
        <v>2.11</v>
        <stp/>
        <stp>BID</stp>
        <stp>IPW</stp>
        <tr r="G198" s="1"/>
      </tp>
      <tp>
        <v>5.0199999999999996</v>
        <stp/>
        <stp>BID</stp>
        <stp>INV</stp>
        <tr r="G163" s="1"/>
      </tp>
      <tp t="s">
        <v>1,765 M</v>
        <stp/>
        <stp>MARKET_CAP</stp>
        <stp>BBAI</stp>
        <tr r="I84" s="1"/>
      </tp>
      <tp>
        <v>1.99</v>
        <stp/>
        <stp>BID</stp>
        <stp>IKT</stp>
        <tr r="G144" s="1"/>
      </tp>
      <tp t="s">
        <v>2,104 M</v>
        <stp/>
        <stp>MARKET_CAP</stp>
        <stp>JBLU</stp>
        <tr r="I151" s="1"/>
      </tp>
      <tp t="s">
        <v>7,788 M</v>
        <stp/>
        <stp>MARKET_CAP</stp>
        <stp>MBLY</stp>
        <tr r="I171" s="1"/>
      </tp>
      <tp>
        <v>1.81</v>
        <stp/>
        <stp>ASK</stp>
        <stp>BTBT</stp>
        <tr r="H100" s="1"/>
      </tp>
      <tp>
        <v>-3.7650000000000003E-2</v>
        <stp/>
        <stp>MARK_CHANGE</stp>
        <stp>ABTC</stp>
        <tr r="D106" s="1"/>
      </tp>
      <tp>
        <v>0.01</v>
        <stp/>
        <stp>MARK_CHANGE</stp>
        <stp>ABTS</stp>
        <tr r="D194" s="1"/>
      </tp>
      <tp>
        <v>1.21</v>
        <stp/>
        <stp>BID</stp>
        <stp>NNOX</stp>
        <tr r="G212" s="1"/>
      </tp>
      <tp>
        <v>2.76</v>
        <stp/>
        <stp>BID</stp>
        <stp>ANNA</stp>
        <tr r="G85" s="1"/>
      </tp>
      <tp>
        <v>-8.9999999999999993E-3</v>
        <stp/>
        <stp>MARK_CHANGE</stp>
        <stp>WBUY</stp>
        <tr r="D204" s="1"/>
      </tp>
      <tp>
        <v>2.5000000000000001E-2</v>
        <stp/>
        <stp>MARK_CHANGE</stp>
        <stp>IBRX</stp>
        <tr r="D87" s="1"/>
      </tp>
      <tp>
        <v>0.3</v>
        <stp/>
        <stp>MARK_CHANGE</stp>
        <stp>ABSI</stp>
        <tr r="D138" s="1"/>
      </tp>
      <tp t="s">
        <v>CARDLYTICS INC</v>
        <stp/>
        <stp>DESCRIPTION</stp>
        <stp>CDLX</stp>
        <tr r="B146" s="1"/>
      </tp>
      <tp>
        <v>4.3099999999999996</v>
        <stp/>
        <stp>BID</stp>
        <stp>INDI</stp>
        <tr r="G161" s="1"/>
      </tp>
      <tp t="s">
        <v>BAIRD MED INVT HLDGS</v>
        <stp/>
        <stp>DESCRIPTION</stp>
        <stp>BDMD</stp>
        <tr r="B141" s="1"/>
      </tp>
      <tp>
        <v>11.83</v>
        <stp/>
        <stp>ASK</stp>
        <stp>CTOS</stp>
        <tr r="H157" s="1"/>
      </tp>
      <tp t="s">
        <v>DREAMLAND LTD A</v>
        <stp/>
        <stp>DESCRIPTION</stp>
        <stp>TDIC</stp>
        <tr r="B168" s="1"/>
      </tp>
      <tp>
        <v>17.46</v>
        <stp/>
        <stp>BID</stp>
        <stp>QNCX</stp>
        <tr r="G154" s="1"/>
      </tp>
      <tp>
        <v>17.32</v>
        <stp/>
        <stp>ASK</stp>
        <stp>FTRE</stp>
        <tr r="H200" s="1"/>
      </tp>
      <tp>
        <v>11.18</v>
        <stp/>
        <stp>ASK</stp>
        <stp>NTSK</stp>
        <tr r="H224" s="1"/>
      </tp>
      <tp>
        <v>8.5000000000000006E-2</v>
        <stp/>
        <stp>MARK_CHANGE</stp>
        <stp>BBAI</stp>
        <tr r="D84" s="1"/>
      </tp>
      <tp>
        <v>4.91</v>
        <stp/>
        <stp>BID</stp>
        <stp>ZNTL</stp>
        <tr r="G166" s="1"/>
      </tp>
      <tp>
        <v>6.77</v>
        <stp/>
        <stp>BID</stp>
        <stp>MNTS</stp>
        <tr r="G145" s="1"/>
      </tp>
      <tp>
        <v>2.5000000000000001E-2</v>
        <stp/>
        <stp>MARK_CHANGE</stp>
        <stp>JBLU</stp>
        <tr r="D151" s="1"/>
      </tp>
      <tp>
        <v>0.94740000000000002</v>
        <stp/>
        <stp>MARK_CHANGE</stp>
        <stp>MBLY</stp>
        <tr r="D171" s="1"/>
      </tp>
      <tp>
        <v>1.36</v>
        <stp/>
        <stp>BID</stp>
        <stp>ENVB</stp>
        <tr r="G177" s="1"/>
      </tp>
      <tp>
        <v>6.17</v>
        <stp/>
        <stp>BID</stp>
        <stp>ENVX</stp>
        <tr r="G110" s="1"/>
      </tp>
      <tp>
        <v>0.4995</v>
        <stp/>
        <stp>BID</stp>
        <stp>GNPX</stp>
        <tr r="G160" s="1"/>
      </tp>
      <tp t="s">
        <v>JIADE LTD A</v>
        <stp/>
        <stp>DESCRIPTION</stp>
        <stp>JDZG</stp>
        <tr r="B152" s="1"/>
      </tp>
      <tp t="s">
        <v>733 M</v>
        <stp/>
        <stp>MARKET_CAP</stp>
        <stp>ACRS</stp>
        <tr r="I135" s="1"/>
      </tp>
      <tp t="s">
        <v>+198.46%</v>
        <stp/>
        <stp>MARK_PERCENT_CHANGE</stp>
        <stp>JEM</stp>
        <tr r="E199" s="1"/>
      </tp>
      <tp t="s">
        <v>280 M</v>
        <stp/>
        <stp>MARKET_CAP</stp>
        <stp>GCTS</stp>
        <tr r="I149" s="1"/>
      </tp>
      <tp>
        <v>2.16</v>
        <stp/>
        <stp>BID</stp>
        <stp>HTZ</stp>
        <tr r="G230" s="1"/>
      </tp>
      <tp t="s">
        <v>6.7 M</v>
        <stp/>
        <stp>MARKET_CAP</stp>
        <stp>ACXP</stp>
        <tr r="I228" s="1"/>
      </tp>
      <tp t="s">
        <v>7 M</v>
        <stp/>
        <stp>MARKET_CAP</stp>
        <stp>YCBD</stp>
        <tr r="I176" s="1"/>
      </tp>
      <tp>
        <v>8.81</v>
        <stp/>
        <stp>BID</stp>
        <stp>HLX</stp>
        <tr r="G150" s="1"/>
      </tp>
      <tp t="s">
        <v>31 M</v>
        <stp/>
        <stp>MARKET_CAP</stp>
        <stp>UCAR</stp>
        <tr r="I172" s="1"/>
      </tp>
      <tp t="s">
        <v>533 M</v>
        <stp/>
        <stp>MARKET_CAP</stp>
        <stp>OCGN</stp>
        <tr r="I147" s="1"/>
      </tp>
      <tp t="s">
        <v>1,023 M</v>
        <stp/>
        <stp>MARKET_CAP</stp>
        <stp>ACDC</stp>
        <tr r="I142" s="1"/>
      </tp>
      <tp t="s">
        <v>3,597 M</v>
        <stp/>
        <stp>MARKET_CAP</stp>
        <stp>ACHR</stp>
        <tr r="I107" s="1"/>
      </tp>
      <tp>
        <v>1.62</v>
        <stp/>
        <stp>ASK</stp>
        <stp>HUBC</stp>
        <tr r="H190" s="1"/>
      </tp>
      <tp>
        <v>3.04</v>
        <stp/>
        <stp>BID</stp>
        <stp>DOMO</stp>
        <tr r="G227" s="1"/>
      </tp>
      <tp t="s">
        <v>KEEL INFRASTRUCTURE</v>
        <stp/>
        <stp>DESCRIPTION</stp>
        <stp>KEEL</stp>
        <tr r="B128" s="1"/>
        <tr r="B173" s="1"/>
      </tp>
      <tp>
        <v>6.1</v>
        <stp/>
        <stp>BID</stp>
        <stp>ROLR</stp>
        <tr r="G114" s="1"/>
      </tp>
      <tp>
        <v>0.51500000000000001</v>
        <stp/>
        <stp>MARK_CHANGE</stp>
        <stp>GCTS</stp>
        <tr r="D149" s="1"/>
      </tp>
      <tp>
        <v>6.57</v>
        <stp/>
        <stp>ASK</stp>
        <stp>NUAI</stp>
        <tr r="H93" s="1"/>
      </tp>
      <tp>
        <v>0.45029999999999998</v>
        <stp/>
        <stp>BID</stp>
        <stp>EONR</stp>
        <tr r="G111" s="1"/>
      </tp>
      <tp>
        <v>0.22500000000000001</v>
        <stp/>
        <stp>MARK_CHANGE</stp>
        <stp>ACRS</stp>
        <tr r="D135" s="1"/>
      </tp>
      <tp t="s">
        <v>WEAVE COMMUNICATIONS</v>
        <stp/>
        <stp>DESCRIPTION</stp>
        <stp>WEAV</stp>
        <tr r="B220" s="1"/>
      </tp>
      <tp t="s">
        <v>RECTITUDE HLDGS LTD.</v>
        <stp/>
        <stp>DESCRIPTION</stp>
        <stp>RECT</stp>
        <tr r="B133" s="1"/>
      </tp>
      <tp t="s">
        <v>-1.40%</v>
        <stp/>
        <stp>MARK_PERCENT_CHANGE</stp>
        <stp>AVTR</stp>
        <tr r="E211" s="1"/>
      </tp>
      <tp t="s">
        <v>RENX ENTERPRISES COR</v>
        <stp/>
        <stp>DESCRIPTION</stp>
        <stp>RENX</stp>
        <tr r="B162" s="1"/>
      </tp>
      <tp t="s">
        <v>ZENATECH INC</v>
        <stp/>
        <stp>DESCRIPTION</stp>
        <stp>ZENA</stp>
        <tr r="B123" s="1"/>
      </tp>
      <tp>
        <v>10.675000000000001</v>
        <stp/>
        <stp>MARK</stp>
        <stp>GPK</stp>
        <tr r="C140" s="1"/>
      </tp>
      <tp t="s">
        <v>EPICQUEST EDUCATION</v>
        <stp/>
        <stp>DESCRIPTION</stp>
        <stp>EEIQ</stp>
        <tr r="B221" s="1"/>
      </tp>
      <tp>
        <v>3.92</v>
        <stp/>
        <stp>ASK</stp>
        <stp>FULC</stp>
        <tr r="H164" s="1"/>
      </tp>
      <tp>
        <v>6.66</v>
        <stp/>
        <stp>ASK</stp>
        <stp>BULL</stp>
        <tr r="H89" s="1"/>
      </tp>
      <tp>
        <v>-0.12</v>
        <stp/>
        <stp>MARK_CHANGE</stp>
        <stp>ACXP</stp>
        <tr r="D228" s="1"/>
      </tp>
      <tp>
        <v>2.89</v>
        <stp/>
        <stp>MARK</stp>
        <stp>GTM</stp>
        <tr r="C209" s="1"/>
      </tp>
      <tp>
        <v>0.63190000000000002</v>
        <stp/>
        <stp>BID</stp>
        <stp>LOBO</stp>
        <tr r="G75" s="1"/>
      </tp>
      <tp>
        <v>8.9499999999999993</v>
        <stp/>
        <stp>BID</stp>
        <stp>JOBY</stp>
        <tr r="G105" s="1"/>
      </tp>
      <tp t="s">
        <v>RETO ECO-SOLUTIONS I A</v>
        <stp/>
        <stp>DESCRIPTION</stp>
        <stp>RETO</stp>
        <tr r="B72" s="1"/>
      </tp>
      <tp>
        <v>-9.5000000000000001E-2</v>
        <stp/>
        <stp>MARK_CHANGE</stp>
        <stp>OCGN</stp>
        <tr r="D147" s="1"/>
      </tp>
      <tp>
        <v>-0.14499999999999999</v>
        <stp/>
        <stp>MARK_CHANGE</stp>
        <stp>ACDC</stp>
        <tr r="D142" s="1"/>
      </tp>
      <tp>
        <v>-3.1E-2</v>
        <stp/>
        <stp>MARK_CHANGE</stp>
        <stp>YCBD</stp>
        <tr r="D176" s="1"/>
      </tp>
      <tp t="s">
        <v>REPLIMUNE GROUP INC</v>
        <stp/>
        <stp>DESCRIPTION</stp>
        <stp>REPL</stp>
        <tr r="B122" s="1"/>
        <tr r="B175" s="1"/>
      </tp>
      <tp>
        <v>1.31</v>
        <stp/>
        <stp>ASK</stp>
        <stp>AUUD</stp>
        <tr r="H181" s="1"/>
      </tp>
      <tp>
        <v>0.01</v>
        <stp/>
        <stp>MARK_CHANGE</stp>
        <stp>UCAR</stp>
        <tr r="D172" s="1"/>
      </tp>
      <tp>
        <v>6.45</v>
        <stp/>
        <stp>BID</stp>
        <stp>SOUN</stp>
        <tr r="G99" s="1"/>
      </tp>
      <tp>
        <v>4.55</v>
        <stp/>
        <stp>BID</stp>
        <stp>KOPN</stp>
        <tr r="G169" s="1"/>
      </tp>
      <tp>
        <v>5.75</v>
        <stp/>
        <stp>BID</stp>
        <stp>EOSE</stp>
        <tr r="G102" s="1"/>
      </tp>
      <tp>
        <v>3.5000000000000003E-2</v>
        <stp/>
        <stp>MARK_CHANGE</stp>
        <stp>ACHR</stp>
        <tr r="D107" s="1"/>
      </tp>
      <tp>
        <v>0</v>
        <stp/>
        <stp>MARKET_CAP</stp>
        <stp>QVCGP</stp>
        <tr r="I191" s="1"/>
      </tp>
      <tp>
        <v>8.82</v>
        <stp/>
        <stp>ASK</stp>
        <stp>HLX</stp>
        <tr r="H150" s="1"/>
      </tp>
      <tp t="s">
        <v>-4.02%</v>
        <stp/>
        <stp>MARK_PERCENT_CHANGE</stp>
        <stp>INV</stp>
        <tr r="E163" s="1"/>
      </tp>
      <tp t="s">
        <v>+3.63%</v>
        <stp/>
        <stp>MARK_PERCENT_CHANGE</stp>
        <stp>IKT</stp>
        <tr r="E144" s="1"/>
      </tp>
      <tp>
        <v>2.17</v>
        <stp/>
        <stp>ASK</stp>
        <stp>HTZ</stp>
        <tr r="H230" s="1"/>
      </tp>
      <tp t="s">
        <v>-3.64%</v>
        <stp/>
        <stp>MARK_PERCENT_CHANGE</stp>
        <stp>IPW</stp>
        <tr r="E198" s="1"/>
      </tp>
      <tp>
        <v>2.15</v>
        <stp/>
        <stp>BID</stp>
        <stp>GLND</stp>
        <tr r="G156" s="1"/>
      </tp>
      <tp>
        <v>1.37</v>
        <stp/>
        <stp>BID</stp>
        <stp>SLNH</stp>
        <tr r="G88" s="1"/>
        <tr r="G148" s="1"/>
      </tp>
      <tp>
        <v>1.52</v>
        <stp/>
        <stp>BID</stp>
        <stp>CLIK</stp>
        <tr r="G193" s="1"/>
      </tp>
      <tp>
        <v>7.24</v>
        <stp/>
        <stp>BID</stp>
        <stp>MLEC</stp>
        <tr r="G143" s="1"/>
      </tp>
      <tp t="s">
        <v>+3.97%</v>
        <stp/>
        <stp>MARK_PERCENT_CHANGE</stp>
        <stp>AUUD</stp>
        <tr r="E181" s="1"/>
      </tp>
      <tp>
        <v>3.98</v>
        <stp/>
        <stp>BID</stp>
        <stp>ELDN</stp>
        <tr r="G225" s="1"/>
      </tp>
      <tp>
        <v>2.57</v>
        <stp/>
        <stp>BID</stp>
        <stp>SLDP</stp>
        <tr r="G125" s="1"/>
      </tp>
      <tp>
        <v>1.62</v>
        <stp/>
        <stp>BID</stp>
        <stp>WLDS</stp>
        <tr r="G215" s="1"/>
      </tp>
      <tp>
        <v>1.2</v>
        <stp/>
        <stp>BID</stp>
        <stp>ELAB</stp>
        <tr r="G119" s="1"/>
      </tp>
      <tp>
        <v>0.46360000000000001</v>
        <stp/>
        <stp>BID</stp>
        <stp>SLAI</stp>
        <tr r="G81" s="1"/>
      </tp>
      <tp>
        <v>7.82</v>
        <stp/>
        <stp>BID</stp>
        <stp>ULCC</stp>
        <tr r="G153" s="1"/>
      </tp>
      <tp t="s">
        <v>-1.35%</v>
        <stp/>
        <stp>MARK_PERCENT_CHANGE</stp>
        <stp>BULL</stp>
        <tr r="E89" s="1"/>
      </tp>
      <tp t="s">
        <v>+4.96%</v>
        <stp/>
        <stp>MARK_PERCENT_CHANGE</stp>
        <stp>FULC</stp>
        <tr r="E164" s="1"/>
      </tp>
      <tp>
        <v>9.9</v>
        <stp/>
        <stp>ASK</stp>
        <stp>AVTR</stp>
        <tr r="H211" s="1"/>
      </tp>
      <tp>
        <v>2.77</v>
        <stp/>
        <stp>BID</stp>
        <stp>PLUG</stp>
        <tr r="G104" s="1"/>
      </tp>
      <tp t="s">
        <v>+6.92%</v>
        <stp/>
        <stp>MARK_PERCENT_CHANGE</stp>
        <stp>NUAI</stp>
        <tr r="E93" s="1"/>
      </tp>
      <tp>
        <v>0.98450000000000004</v>
        <stp/>
        <stp>BID</stp>
        <stp>ELPW</stp>
        <tr r="G201" s="1"/>
        <tr r="G73" s="1"/>
      </tp>
      <tp t="s">
        <v>+10.20%</v>
        <stp/>
        <stp>MARK_PERCENT_CHANGE</stp>
        <stp>HUBC</stp>
        <tr r="E190" s="1"/>
      </tp>
      <tp>
        <v>1484750</v>
        <stp/>
        <stp>VOLUME</stp>
        <stp>GPK</stp>
        <tr r="F140" s="1"/>
      </tp>
      <tp>
        <v>4270748</v>
        <stp/>
        <stp>VOLUME</stp>
        <stp>GTM</stp>
        <tr r="F209" s="1"/>
      </tp>
      <tp>
        <v>6.9999999999999999E-4</v>
        <stp/>
        <stp>MARK_CHANGE</stp>
        <stp>TRX</stp>
        <tr r="D97" s="1"/>
      </tp>
      <tp t="s">
        <v>52 M</v>
        <stp/>
        <stp>MARKET_CAP</stp>
        <stp>UAVS</stp>
        <tr r="I96" s="1"/>
      </tp>
      <tp t="s">
        <v>4 M</v>
        <stp/>
        <stp>MARKET_CAP</stp>
        <stp>PAVS</stp>
        <tr r="I216" s="1"/>
      </tp>
      <tp>
        <v>0.03</v>
        <stp/>
        <stp>MARK_CHANGE</stp>
        <stp>TWI</stp>
        <tr r="D136" s="1"/>
      </tp>
      <tp t="s">
        <v>5,566 M</v>
        <stp/>
        <stp>MARKET_CAP</stp>
        <stp>PATH</stp>
        <tr r="I210" s="1"/>
      </tp>
      <tp t="s">
        <v>29 M</v>
        <stp/>
        <stp>MARKET_CAP</stp>
        <stp>BATL</stp>
        <tr r="I121" s="1"/>
      </tp>
      <tp t="s">
        <v>881 M</v>
        <stp/>
        <stp>MARKET_CAP</stp>
        <stp>SATL</stp>
        <tr r="I86" s="1"/>
      </tp>
      <tp>
        <v>5.03</v>
        <stp/>
        <stp>ASK</stp>
        <stp>INV</stp>
        <tr r="H163" s="1"/>
      </tp>
      <tp t="s">
        <v>+1.15%</v>
        <stp/>
        <stp>MARK_PERCENT_CHANGE</stp>
        <stp>HLX</stp>
        <tr r="E150" s="1"/>
      </tp>
      <tp>
        <v>2</v>
        <stp/>
        <stp>ASK</stp>
        <stp>IKT</stp>
        <tr r="H144" s="1"/>
      </tp>
      <tp t="s">
        <v>517 M</v>
        <stp/>
        <stp>MARKET_CAP</stp>
        <stp>PACB</stp>
        <tr r="I226" s="1"/>
      </tp>
      <tp t="s">
        <v>-5.87%</v>
        <stp/>
        <stp>MARK_PERCENT_CHANGE</stp>
        <stp>HTZ</stp>
        <tr r="E230" s="1"/>
      </tp>
      <tp>
        <v>2.15</v>
        <stp/>
        <stp>ASK</stp>
        <stp>IPW</stp>
        <tr r="H198" s="1"/>
      </tp>
      <tp t="s">
        <v>705 M</v>
        <stp/>
        <stp>MARKET_CAP</stp>
        <stp>LAES</stp>
        <tr r="I83" s="1"/>
      </tp>
      <tp>
        <v>3.22</v>
        <stp/>
        <stp>BID</stp>
        <stp>JEM</stp>
        <tr r="G199" s="1"/>
      </tp>
      <tp t="s">
        <v>41 M</v>
        <stp/>
        <stp>MARKET_CAP</stp>
        <stp>GAME</stp>
        <tr r="I80" s="1"/>
      </tp>
      <tp>
        <v>2.545E-2</v>
        <stp/>
        <stp>MARK_CHANGE</stp>
        <stp>UAVS</stp>
        <tr r="D96" s="1"/>
      </tp>
      <tp>
        <v>1.7150000000000001</v>
        <stp/>
        <stp>MARK_CHANGE</stp>
        <stp>PAVS</stp>
        <tr r="D216" s="1"/>
      </tp>
      <tp>
        <v>6.2E-2</v>
        <stp/>
        <stp>MARK_CHANGE</stp>
        <stp>PATH</stp>
        <tr r="D210" s="1"/>
      </tp>
      <tp>
        <v>-9.5000000000000001E-2</v>
        <stp/>
        <stp>MARK_CHANGE</stp>
        <stp>BATL</stp>
        <tr r="D121" s="1"/>
      </tp>
      <tp>
        <v>0.30499999999999999</v>
        <stp/>
        <stp>MARK_CHANGE</stp>
        <stp>SATL</stp>
        <tr r="D86" s="1"/>
      </tp>
      <tp>
        <v>2.21</v>
        <stp/>
        <stp>BID</stp>
        <stp>CMND</stp>
        <tr r="G77" s="1"/>
      </tp>
      <tp>
        <v>0.61109999999999998</v>
        <stp/>
        <stp>BID</stp>
        <stp>PMEC</stp>
        <tr r="G129" s="1"/>
      </tp>
      <tp>
        <v>0.73299999999999998</v>
        <stp/>
        <stp>BID</stp>
        <stp>TMDE</stp>
        <tr r="G116" s="1"/>
      </tp>
      <tp>
        <v>8.2799999999999994</v>
        <stp/>
        <stp>BID</stp>
        <stp>NMAX</stp>
        <tr r="G78" s="1"/>
        <tr r="G185" s="1"/>
      </tp>
      <tp t="s">
        <v>+6.48%</v>
        <stp/>
        <stp>MARK_PERCENT_CHANGE</stp>
        <stp>NTSK</stp>
        <tr r="E224" s="1"/>
      </tp>
      <tp>
        <v>4.7</v>
        <stp/>
        <stp>BID</stp>
        <stp>AMBP</stp>
        <tr r="G159" s="1"/>
      </tp>
      <tp t="s">
        <v>-1.26%</v>
        <stp/>
        <stp>MARK_PERCENT_CHANGE</stp>
        <stp>FTRE</stp>
        <tr r="E200" s="1"/>
      </tp>
      <tp t="s">
        <v>-1.05%</v>
        <stp/>
        <stp>MARK_PERCENT_CHANGE</stp>
        <stp>CTOS</stp>
        <tr r="E157" s="1"/>
      </tp>
      <tp>
        <v>-4.4999999999999998E-2</v>
        <stp/>
        <stp>MARK_CHANGE</stp>
        <stp>LAES</stp>
        <tr r="D83" s="1"/>
      </tp>
      <tp t="s">
        <v>AXE COMPUTE INC</v>
        <stp/>
        <stp>DESCRIPTION</stp>
        <stp>AGPU</stp>
        <tr r="B184" s="1"/>
        <tr r="B70" s="1"/>
      </tp>
      <tp>
        <v>-6.5000000000000002E-2</v>
        <stp/>
        <stp>MARK_CHANGE</stp>
        <stp>PACB</stp>
        <tr r="D226" s="1"/>
      </tp>
      <tp t="s">
        <v>URBAN-GRO INC</v>
        <stp/>
        <stp>DESCRIPTION</stp>
        <stp>UGRO</stp>
        <tr r="B117" s="1"/>
      </tp>
      <tp>
        <v>3.8999999999999998E-3</v>
        <stp/>
        <stp>MARK_CHANGE</stp>
        <stp>GAME</stp>
        <tr r="D80" s="1"/>
      </tp>
      <tp>
        <v>14.59</v>
        <stp/>
        <stp>BID</stp>
        <stp>CMPS</stp>
        <tr r="G137" s="1"/>
      </tp>
      <tp>
        <v>0.49</v>
        <stp/>
        <stp>BID</stp>
        <stp>RMSG</stp>
        <tr r="G202" s="1"/>
      </tp>
      <tp>
        <v>6.99</v>
        <stp/>
        <stp>BID</stp>
        <stp>IMSR</stp>
        <tr r="G127" s="1"/>
      </tp>
      <tp t="s">
        <v>-1.37%</v>
        <stp/>
        <stp>MARK_PERCENT_CHANGE</stp>
        <stp>BTBT</stp>
        <tr r="E100" s="1"/>
      </tp>
      <tp>
        <v>0.01</v>
        <stp/>
        <stp>MARK_CHANGE</stp>
        <stp>SST</stp>
        <tr r="D178" s="1"/>
      </tp>
      <tp>
        <v>-0.16</v>
        <stp/>
        <stp>MARK_CHANGE</stp>
        <stp>SPT</stp>
        <tr r="D219" s="1"/>
      </tp>
      <tp>
        <v>2.34</v>
        <stp/>
        <stp>ASK</stp>
        <stp>NPT</stp>
        <tr r="H183" s="1"/>
      </tp>
      <tp t="s">
        <v>PSYENCE BIOMEDICAL L</v>
        <stp/>
        <stp>DESCRIPTION</stp>
        <stp>PBM</stp>
        <tr r="B79" s="1"/>
        <tr r="B213" s="1"/>
      </tp>
      <tp>
        <v>4.24E-2</v>
        <stp/>
        <stp>MARK_CHANGE</stp>
        <stp>SES</stp>
        <tr r="D126" s="1"/>
      </tp>
      <tp t="s">
        <v>PURECYCLE TECHNOLOGI Equity</v>
        <stp/>
        <stp>DESCRIPTION</stp>
        <stp>PCT</stp>
        <tr r="B167" s="1"/>
      </tp>
      <tp>
        <v>-0.47</v>
        <stp/>
        <stp>MARK_CHANGE</stp>
        <stp>SMX</stp>
        <tr r="D118" s="1"/>
      </tp>
      <tp>
        <v>2.09</v>
        <stp/>
        <stp>ASK</stp>
        <stp>RPGL</stp>
        <tr r="H76" s="1"/>
      </tp>
      <tp>
        <v>4.7300000000000004</v>
        <stp/>
        <stp>ASK</stp>
        <stp>OPEN</stp>
        <tr r="H101" s="1"/>
      </tp>
      <tp t="s">
        <v>-4.84%</v>
        <stp/>
        <stp>MARK_PERCENT_CHANGE</stp>
        <stp>GSUN</stp>
        <tr r="E82" s="1"/>
      </tp>
      <tp>
        <v>5.39</v>
        <stp/>
        <stp>BID</stp>
        <stp>FJET</stp>
        <tr r="G195" s="1"/>
      </tp>
      <tp t="s">
        <v>+3.47%</v>
        <stp/>
        <stp>MARK_PERCENT_CHANGE</stp>
        <stp>ASTI</stp>
        <tr r="E131" s="1"/>
        <tr r="E174" s="1"/>
      </tp>
      <tp>
        <v>6.7</v>
        <stp/>
        <stp>ASK</stp>
        <stp>CPIX</stp>
        <tr r="H180" s="1"/>
      </tp>
      <tp t="s">
        <v>+8.53%</v>
        <stp/>
        <stp>MARK_PERCENT_CHANGE</stp>
        <stp>ZSPC</stp>
        <tr r="E69" s="1"/>
      </tp>
      <tp>
        <v>3.7349999999999999</v>
        <stp/>
        <stp>MARK</stp>
        <stp>BTG</stp>
        <tr r="C139" s="1"/>
      </tp>
      <tp>
        <v>2.4300000000000002</v>
        <stp/>
        <stp>ASK</stp>
        <stp>IPST</stp>
        <tr r="H182" s="1"/>
      </tp>
      <tp t="s">
        <v>+10.88%</v>
        <stp/>
        <stp>MARK_PERCENT_CHANGE</stp>
        <stp>GSIT</stp>
        <tr r="E217" s="1"/>
      </tp>
      <tp t="s">
        <v>-1.00%</v>
        <stp/>
        <stp>MARK_PERCENT_CHANGE</stp>
        <stp>ASAN</stp>
        <tr r="E196" s="1"/>
      </tp>
      <tp>
        <v>1046958</v>
        <stp/>
        <stp>VOLUME</stp>
        <stp>ACB</stp>
        <tr r="F222" s="1"/>
      </tp>
      <tp>
        <v>2534071</v>
        <stp/>
        <stp>VOLUME</stp>
        <stp>ALT</stp>
        <tr r="F189" s="1"/>
      </tp>
      <tp t="s">
        <v>4.9 M</v>
        <stp/>
        <stp>MARKET_CAP</stp>
        <stp>UGRO</stp>
        <tr r="I117" s="1"/>
      </tp>
      <tp t="s">
        <v>83 M</v>
        <stp/>
        <stp>MARKET_CAP</stp>
        <stp>AGPU</stp>
        <tr r="I184" s="1"/>
        <tr r="I70" s="1"/>
      </tp>
      <tp>
        <v>3.84</v>
        <stp/>
        <stp>BID</stp>
        <stp>LPL</stp>
        <tr r="G186" s="1"/>
      </tp>
      <tp>
        <v>-0.04</v>
        <stp/>
        <stp>MARK_CHANGE</stp>
        <stp>RES</stp>
        <tr r="D165" s="1"/>
      </tp>
      <tp t="s">
        <v>+0.93%</v>
        <stp/>
        <stp>MARK_PERCENT_CHANGE</stp>
        <stp>NPT</stp>
        <tr r="E183" s="1"/>
      </tp>
      <tp>
        <v>3.86</v>
        <stp/>
        <stp>BID</stp>
        <stp>LAC</stp>
        <tr r="G90" s="1"/>
      </tp>
      <tp t="s">
        <v>SEALSQ CORP</v>
        <stp/>
        <stp>DESCRIPTION</stp>
        <stp>LAES</stp>
        <tr r="B83" s="1"/>
      </tp>
      <tp>
        <v>3.37</v>
        <stp/>
        <stp>MARK</stp>
        <stp>CYH</stp>
        <tr r="C109" s="1"/>
      </tp>
      <tp>
        <v>5.1100000000000003</v>
        <stp/>
        <stp>MARK</stp>
        <stp>CXM</stp>
        <tr r="C206" s="1"/>
      </tp>
      <tp>
        <v>0</v>
        <stp/>
        <stp>MARK_CHANGE</stp>
        <stp>UGRO</stp>
        <tr r="D117" s="1"/>
      </tp>
      <tp>
        <v>0.13089999999999999</v>
        <stp/>
        <stp>MARK_CHANGE</stp>
        <stp>AGPU</stp>
        <tr r="D70" s="1"/>
        <tr r="D184" s="1"/>
      </tp>
      <tp t="s">
        <v>+2.33%</v>
        <stp/>
        <stp>MARK_PERCENT_CHANGE</stp>
        <stp>PRZO</stp>
        <tr r="E124" s="1"/>
      </tp>
      <tp t="s">
        <v>PACIFIC BIOSCIENCES</v>
        <stp/>
        <stp>DESCRIPTION</stp>
        <stp>PACB</stp>
        <tr r="B226" s="1"/>
      </tp>
      <tp t="s">
        <v>GAMESQUARE HLDGS INC</v>
        <stp/>
        <stp>DESCRIPTION</stp>
        <stp>GAME</stp>
        <tr r="B80" s="1"/>
      </tp>
      <tp t="s">
        <v>-0.59%</v>
        <stp/>
        <stp>MARK_PERCENT_CHANGE</stp>
        <stp>FRSH</stp>
        <tr r="E203" s="1"/>
      </tp>
      <tp t="s">
        <v>BATTALION OIL CORP</v>
        <stp/>
        <stp>DESCRIPTION</stp>
        <stp>BATL</stp>
        <tr r="B121" s="1"/>
      </tp>
      <tp t="s">
        <v>SATELLOGIC INC A</v>
        <stp/>
        <stp>DESCRIPTION</stp>
        <stp>SATL</stp>
        <tr r="B86" s="1"/>
      </tp>
      <tp t="s">
        <v>-4.07%</v>
        <stp/>
        <stp>MARK_PERCENT_CHANGE</stp>
        <stp>FRMI</stp>
        <tr r="E158" s="1"/>
      </tp>
      <tp t="s">
        <v>UIPATH INC A</v>
        <stp/>
        <stp>DESCRIPTION</stp>
        <stp>PATH</stp>
        <tr r="B210" s="1"/>
      </tp>
      <tp t="s">
        <v>AGEAGLE AERIAL SYSTE</v>
        <stp/>
        <stp>DESCRIPTION</stp>
        <stp>UAVS</stp>
        <tr r="B96" s="1"/>
      </tp>
      <tp t="s">
        <v>PARANOVUS ENTMT TECH A</v>
        <stp/>
        <stp>DESCRIPTION</stp>
        <stp>PAVS</stp>
        <tr r="B216" s="1"/>
      </tp>
      <tp t="s">
        <v>+10.85%</v>
        <stp/>
        <stp>MARK_PERCENT_CHANGE</stp>
        <stp>TRON</stp>
        <tr r="E208" s="1"/>
      </tp>
      <tp t="s">
        <v>0.00%</v>
        <stp/>
        <stp>MARK_PERCENT_CHANGE</stp>
        <stp>VRNO</stp>
        <tr r="E205" s="1"/>
      </tp>
      <tp t="s">
        <v>+5.56%</v>
        <stp/>
        <stp>MARK_PERCENT_CHANGE</stp>
        <stp>LRHC</stp>
        <tr r="E187" s="1"/>
      </tp>
      <tp t="s">
        <v>-1.29%</v>
        <stp/>
        <stp>MARK_PERCENT_CHANGE</stp>
        <stp>KREF</stp>
        <tr r="E188" s="1"/>
      </tp>
      <tp t="s">
        <v>+27.95%</v>
        <stp/>
        <stp>MARK_PERCENT_CHANGE</stp>
        <stp>SRFM</stp>
        <tr r="E95" s="1"/>
        <tr r="E232" s="1"/>
      </tp>
      <tp t="s">
        <v>-1.21%</v>
        <stp/>
        <stp>MARK_PERCENT_CHANGE</stp>
        <stp>ORBS</stp>
        <tr r="E92" s="1"/>
      </tp>
      <tp>
        <v>3.87</v>
        <stp/>
        <stp>ASK</stp>
        <stp>LAC</stp>
        <tr r="H90" s="1"/>
      </tp>
      <tp t="s">
        <v>274 M</v>
        <stp/>
        <stp>MARKET_CAP</stp>
        <stp>JDZG</stp>
        <tr r="I152" s="1"/>
      </tp>
      <tp t="s">
        <v>RPC INC</v>
        <stp/>
        <stp>DESCRIPTION</stp>
        <stp>RES</stp>
        <tr r="B165" s="1"/>
      </tp>
      <tp>
        <v>3.85</v>
        <stp/>
        <stp>ASK</stp>
        <stp>LPL</stp>
        <tr r="H186" s="1"/>
      </tp>
      <tp t="s">
        <v>8.7 M</v>
        <stp/>
        <stp>MARKET_CAP</stp>
        <stp>TDIC</stp>
        <tr r="I168" s="1"/>
      </tp>
      <tp t="s">
        <v>27 M</v>
        <stp/>
        <stp>MARKET_CAP</stp>
        <stp>CDLX</stp>
        <tr r="I146" s="1"/>
      </tp>
      <tp t="s">
        <v>36 M</v>
        <stp/>
        <stp>MARKET_CAP</stp>
        <stp>BDMD</stp>
        <tr r="I141" s="1"/>
      </tp>
      <tp>
        <v>0.6915</v>
        <stp/>
        <stp>ASK</stp>
        <stp>ORBS</stp>
        <tr r="H92" s="1"/>
      </tp>
      <tp>
        <v>9.8800000000000008</v>
        <stp/>
        <stp>BID</stp>
        <stp>SHLS</stp>
        <tr r="G155" s="1"/>
      </tp>
      <tp>
        <v>1.19</v>
        <stp/>
        <stp>ASK</stp>
        <stp>SRFM</stp>
        <tr r="H232" s="1"/>
        <tr r="H95" s="1"/>
      </tp>
      <tp t="s">
        <v>BIGBEAR AI HLDGS INC</v>
        <stp/>
        <stp>DESCRIPTION</stp>
        <stp>BBAI</stp>
        <tr r="B84" s="1"/>
      </tp>
      <tp>
        <v>6.88</v>
        <stp/>
        <stp>ASK</stp>
        <stp>KREF</stp>
        <tr r="H188" s="1"/>
      </tp>
      <tp t="s">
        <v>MOBILEYE GLOBAL INC A</v>
        <stp/>
        <stp>DESCRIPTION</stp>
        <stp>MBLY</stp>
        <tr r="B171" s="1"/>
      </tp>
      <tp t="s">
        <v>JETBLUE AWYS CORP EQ Equity</v>
        <stp/>
        <stp>DESCRIPTION</stp>
        <stp>JBLU</stp>
        <tr r="B151" s="1"/>
      </tp>
      <tp>
        <v>1.18</v>
        <stp/>
        <stp>ASK</stp>
        <stp>LRHC</stp>
        <tr r="H187" s="1"/>
      </tp>
      <tp>
        <v>-28.5</v>
        <stp/>
        <stp>MARK_CHANGE</stp>
        <stp>JDZG</stp>
        <tr r="D152" s="1"/>
      </tp>
      <tp>
        <v>1.24</v>
        <stp/>
        <stp>ASK</stp>
        <stp>VRNO</stp>
        <tr r="H205" s="1"/>
      </tp>
      <tp>
        <v>1.64</v>
        <stp/>
        <stp>ASK</stp>
        <stp>TRON</stp>
        <tr r="H208" s="1"/>
      </tp>
      <tp>
        <v>9.07</v>
        <stp/>
        <stp>ASK</stp>
        <stp>FRMI</stp>
        <tr r="H158" s="1"/>
      </tp>
      <tp t="s">
        <v>ABITS GROUP INC</v>
        <stp/>
        <stp>DESCRIPTION</stp>
        <stp>ABTS</stp>
        <tr r="B194" s="1"/>
      </tp>
      <tp t="s">
        <v>AMERICAN BITCOIN COR A</v>
        <stp/>
        <stp>DESCRIPTION</stp>
        <stp>ABTC</stp>
        <tr r="B106" s="1"/>
      </tp>
      <tp t="s">
        <v>WEBUY GLOBAL LTD A</v>
        <stp/>
        <stp>DESCRIPTION</stp>
        <stp>WBUY</stp>
        <tr r="B204" s="1"/>
      </tp>
      <tp>
        <v>10.15</v>
        <stp/>
        <stp>ASK</stp>
        <stp>FRSH</stp>
        <tr r="H203" s="1"/>
      </tp>
      <tp t="s">
        <v>IMMUNITYBIO INC</v>
        <stp/>
        <stp>DESCRIPTION</stp>
        <stp>IBRX</stp>
        <tr r="B87" s="1"/>
      </tp>
      <tp t="s">
        <v>ABSCI CORP</v>
        <stp/>
        <stp>DESCRIPTION</stp>
        <stp>ABSI</stp>
        <tr r="B138" s="1"/>
      </tp>
      <tp>
        <v>0.49270000000000003</v>
        <stp/>
        <stp>ASK</stp>
        <stp>PRZO</stp>
        <tr r="H124" s="1"/>
      </tp>
      <tp>
        <v>-0.3</v>
        <stp/>
        <stp>MARK_CHANGE</stp>
        <stp>CDLX</stp>
        <tr r="D146" s="1"/>
      </tp>
      <tp>
        <v>-5.0000000000000001E-3</v>
        <stp/>
        <stp>MARK_CHANGE</stp>
        <stp>BDMD</stp>
        <tr r="D141" s="1"/>
      </tp>
      <tp>
        <v>-0.13020000000000001</v>
        <stp/>
        <stp>MARK_CHANGE</stp>
        <stp>TDIC</stp>
        <tr r="D168" s="1"/>
      </tp>
      <tp>
        <v>1701581</v>
        <stp/>
        <stp>VOLUME</stp>
        <stp>CXM</stp>
        <tr r="F206" s="1"/>
      </tp>
      <tp>
        <v>523429</v>
        <stp/>
        <stp>VOLUME</stp>
        <stp>CYH</stp>
        <tr r="F109" s="1"/>
      </tp>
      <tp t="s">
        <v>930 M</v>
        <stp/>
        <stp>MARKET_CAP</stp>
        <stp>REPL</stp>
        <tr r="I122" s="1"/>
        <tr r="I175" s="1"/>
      </tp>
      <tp t="s">
        <v>SPROUT SOCIAL INC A</v>
        <stp/>
        <stp>DESCRIPTION</stp>
        <stp>SPT</stp>
        <tr r="B219" s="1"/>
      </tp>
      <tp t="s">
        <v>+2.39%</v>
        <stp/>
        <stp>MARK_PERCENT_CHANGE</stp>
        <stp>LAC</stp>
        <tr r="E90" s="1"/>
      </tp>
      <tp t="s">
        <v>22 M</v>
        <stp/>
        <stp>MARKET_CAP</stp>
        <stp>RETO</stp>
        <tr r="I72" s="1"/>
      </tp>
      <tp t="s">
        <v>SYSTEM1 INC A</v>
        <stp/>
        <stp>DESCRIPTION</stp>
        <stp>SST</stp>
        <tr r="B178" s="1"/>
      </tp>
      <tp>
        <v>2.2799999999999998</v>
        <stp/>
        <stp>BID</stp>
        <stp>NPT</stp>
        <tr r="G183" s="1"/>
      </tp>
      <tp>
        <v>-7.9899999999999999E-2</v>
        <stp/>
        <stp>MARK_CHANGE</stp>
        <stp>PBM</stp>
        <tr r="D79" s="1"/>
        <tr r="D213" s="1"/>
      </tp>
      <tp>
        <v>0.27650000000000002</v>
        <stp/>
        <stp>MARK_CHANGE</stp>
        <stp>PCT</stp>
        <tr r="D167" s="1"/>
      </tp>
      <tp t="s">
        <v>SES AI CORP A</v>
        <stp/>
        <stp>DESCRIPTION</stp>
        <stp>SES</stp>
        <tr r="B126" s="1"/>
      </tp>
      <tp t="s">
        <v>18 M</v>
        <stp/>
        <stp>MARKET_CAP</stp>
        <stp>RECT</stp>
        <tr r="I133" s="1"/>
      </tp>
      <tp t="s">
        <v>475 M</v>
        <stp/>
        <stp>MARKET_CAP</stp>
        <stp>WEAV</stp>
        <tr r="I220" s="1"/>
      </tp>
      <tp t="s">
        <v>-3.15%</v>
        <stp/>
        <stp>MARK_PERCENT_CHANGE</stp>
        <stp>LPL</stp>
        <tr r="E186" s="1"/>
      </tp>
      <tp t="s">
        <v>3,469 M</v>
        <stp/>
        <stp>MARKET_CAP</stp>
        <stp>KEEL</stp>
        <tr r="I173" s="1"/>
        <tr r="I128" s="1"/>
      </tp>
      <tp t="s">
        <v>SMX SEC MATTERS PLC</v>
        <stp/>
        <stp>DESCRIPTION</stp>
        <stp>SMX</stp>
        <tr r="B118" s="1"/>
      </tp>
      <tp t="s">
        <v>5.1 M</v>
        <stp/>
        <stp>MARKET_CAP</stp>
        <stp>EEIQ</stp>
        <tr r="I221" s="1"/>
      </tp>
      <tp t="s">
        <v>129 M</v>
        <stp/>
        <stp>MARKET_CAP</stp>
        <stp>ZENA</stp>
        <tr r="I123" s="1"/>
      </tp>
      <tp t="s">
        <v>4.8 M</v>
        <stp/>
        <stp>MARKET_CAP</stp>
        <stp>RENX</stp>
        <tr r="I162" s="1"/>
      </tp>
      <tp t="s">
        <v>PROFRAC HLDG CORP A</v>
        <stp/>
        <stp>DESCRIPTION</stp>
        <stp>ACDC</stp>
        <tr r="B142" s="1"/>
      </tp>
      <tp>
        <v>7.0000000000000007E-2</v>
        <stp/>
        <stp>MARK_CHANGE</stp>
        <stp>RETO</stp>
        <tr r="D72" s="1"/>
      </tp>
      <tp>
        <v>6.94</v>
        <stp/>
        <stp>ASK</stp>
        <stp>ASAN</stp>
        <tr r="H196" s="1"/>
      </tp>
      <tp t="s">
        <v>OCUGEN INC</v>
        <stp/>
        <stp>DESCRIPTION</stp>
        <stp>OCGN</stp>
        <tr r="B147" s="1"/>
      </tp>
      <tp t="s">
        <v>U PWR LTD A</v>
        <stp/>
        <stp>DESCRIPTION</stp>
        <stp>UCAR</stp>
        <tr r="B172" s="1"/>
      </tp>
      <tp>
        <v>0.06</v>
        <stp/>
        <stp>MARK_CHANGE</stp>
        <stp>REPL</stp>
        <tr r="D175" s="1"/>
        <tr r="D122" s="1"/>
      </tp>
      <tp t="s">
        <v>CBDMD INC</v>
        <stp/>
        <stp>DESCRIPTION</stp>
        <stp>YCBD</stp>
        <tr r="B176" s="1"/>
      </tp>
      <tp>
        <v>2.78</v>
        <stp/>
        <stp>BID</stp>
        <stp>SIDU</stp>
        <tr r="G223" s="1"/>
        <tr r="G115" s="1"/>
      </tp>
      <tp>
        <v>0.67</v>
        <stp/>
        <stp>BID</stp>
        <stp>KIDZ</stp>
        <tr r="G74" s="1"/>
      </tp>
      <tp>
        <v>7.6</v>
        <stp/>
        <stp>ASK</stp>
        <stp>GSIT</stp>
        <tr r="H217" s="1"/>
      </tp>
      <tp>
        <v>0.8125</v>
        <stp/>
        <stp>BID</stp>
        <stp>BIAF</stp>
        <tr r="G229" s="1"/>
      </tp>
      <tp t="s">
        <v>ARCHER AVIATION INC A</v>
        <stp/>
        <stp>DESCRIPTION</stp>
        <stp>ACHR</stp>
        <tr r="B107" s="1"/>
      </tp>
      <tp t="s">
        <v>-7.96%</v>
        <stp/>
        <stp>MARK_PERCENT_CHANGE</stp>
        <stp>IPST</stp>
        <tr r="E182" s="1"/>
      </tp>
      <tp t="s">
        <v>GCT SEMICONDUCTOR HO</v>
        <stp/>
        <stp>DESCRIPTION</stp>
        <stp>GCTS</stp>
        <tr r="B149" s="1"/>
      </tp>
      <tp>
        <v>0.20619999999999999</v>
        <stp/>
        <stp>ASK</stp>
        <stp>ZSPC</stp>
        <tr r="H69" s="1"/>
      </tp>
      <tp>
        <v>-3.5000000000000003E-2</v>
        <stp/>
        <stp>MARK_CHANGE</stp>
        <stp>KEEL</stp>
        <tr r="D173" s="1"/>
        <tr r="D128" s="1"/>
      </tp>
      <tp>
        <v>0.44130000000000003</v>
        <stp/>
        <stp>BID</stp>
        <stp>BIYA</stp>
        <tr r="G71" s="1"/>
      </tp>
      <tp t="s">
        <v>-2.19%</v>
        <stp/>
        <stp>MARK_PERCENT_CHANGE</stp>
        <stp>CPIX</stp>
        <tr r="E180" s="1"/>
      </tp>
      <tp>
        <v>1.95</v>
        <stp/>
        <stp>BID</stp>
        <stp>AIXI</stp>
        <tr r="G130" s="1"/>
        <tr r="G179" s="1"/>
      </tp>
      <tp>
        <v>-4.4999999999999997E-3</v>
        <stp/>
        <stp>MARK_CHANGE</stp>
        <stp>RECT</stp>
        <tr r="D133" s="1"/>
      </tp>
      <tp>
        <v>5.08</v>
        <stp/>
        <stp>ASK</stp>
        <stp>ASTI</stp>
        <tr r="H131" s="1"/>
        <tr r="H174" s="1"/>
      </tp>
      <tp t="s">
        <v>ACLARIS THERAPEUTICS</v>
        <stp/>
        <stp>DESCRIPTION</stp>
        <stp>ACRS</stp>
        <tr r="B135" s="1"/>
      </tp>
      <tp>
        <v>3.14</v>
        <stp/>
        <stp>MARK</stp>
        <stp>ALT</stp>
        <tr r="C189" s="1"/>
      </tp>
      <tp>
        <v>0.32829999999999998</v>
        <stp/>
        <stp>ASK</stp>
        <stp>GSUN</stp>
        <tr r="H82" s="1"/>
      </tp>
      <tp>
        <v>-0.155</v>
        <stp/>
        <stp>MARK_CHANGE</stp>
        <stp>WEAV</stp>
        <tr r="D220" s="1"/>
      </tp>
      <tp>
        <v>2.7949999999999999</v>
        <stp/>
        <stp>MARK</stp>
        <stp>ACB</stp>
        <tr r="C222" s="1"/>
      </tp>
      <tp>
        <v>-6.5000000000000002E-2</v>
        <stp/>
        <stp>MARK_CHANGE</stp>
        <stp>ZENA</stp>
        <tr r="D123" s="1"/>
      </tp>
      <tp t="s">
        <v>+2.72%</v>
        <stp/>
        <stp>MARK_PERCENT_CHANGE</stp>
        <stp>OPEN</stp>
        <tr r="E101" s="1"/>
      </tp>
      <tp>
        <v>-0.1</v>
        <stp/>
        <stp>MARK_CHANGE</stp>
        <stp>RENX</stp>
        <tr r="D162" s="1"/>
      </tp>
      <tp t="s">
        <v>+0.76%</v>
        <stp/>
        <stp>MARK_PERCENT_CHANGE</stp>
        <stp>RPGL</stp>
        <tr r="E76" s="1"/>
      </tp>
      <tp>
        <v>3.65</v>
        <stp/>
        <stp>BID</stp>
        <stp>HIVE</stp>
        <tr r="G98" s="1"/>
      </tp>
      <tp t="s">
        <v>ACURX PHARMACEUTICAL</v>
        <stp/>
        <stp>DESCRIPTION</stp>
        <stp>ACXP</stp>
        <tr r="B228" s="1"/>
      </tp>
      <tp>
        <v>0.05</v>
        <stp/>
        <stp>MARK_CHANGE</stp>
        <stp>EEIQ</stp>
        <tr r="D221" s="1"/>
      </tp>
      <tp>
        <v>15671421</v>
        <stp/>
        <stp>VOLUME</stp>
        <stp>BTG</stp>
        <tr r="F139" s="1"/>
      </tp>
      <tp t="s">
        <v>ENCORE ENERGY CORP</v>
        <stp/>
        <stp>DESCRIPTION</stp>
        <stp>EU</stp>
        <tr r="B120" s="1"/>
      </tp>
      <tp t="s">
        <v>MAGNACHIP SEMICONDUC</v>
        <stp/>
        <stp>DESCRIPTION</stp>
        <stp>MX</stp>
        <tr r="B113" s="1"/>
      </tp>
      <tp t="s">
        <v>T1 ENERGY INC</v>
        <stp/>
        <stp>DESCRIPTION</stp>
        <stp>TE</stp>
        <tr r="B94" s="1"/>
      </tp>
      <tp>
        <v>3.74</v>
        <stp/>
        <stp>ASK</stp>
        <stp>BTG</stp>
        <tr r="H139" s="1"/>
      </tp>
      <tp>
        <v>3.13</v>
        <stp/>
        <stp>BID</stp>
        <stp>ALT</stp>
        <tr r="G189" s="1"/>
      </tp>
      <tp t="s">
        <v>PAGERDUTY INC</v>
        <stp/>
        <stp>DESCRIPTION</stp>
        <stp>PD</stp>
        <tr r="B231" s="1"/>
      </tp>
      <tp t="s">
        <v>QUANTUMSCAPE CORP A</v>
        <stp/>
        <stp>DESCRIPTION</stp>
        <stp>QS</stp>
        <tr r="B132" s="1"/>
        <tr r="B170" s="1"/>
      </tp>
      <tp t="s">
        <v>RICHTECH ROBOTICS IN B</v>
        <stp/>
        <stp>DESCRIPTION</stp>
        <stp>RR</stp>
        <tr r="B103" s="1"/>
      </tp>
      <tp t="s">
        <v>269 M</v>
        <stp/>
        <stp>MARKET_CAP</stp>
        <stp>FJET</stp>
        <tr r="I195" s="1"/>
      </tp>
      <tp>
        <v>2.79</v>
        <stp/>
        <stp>BID</stp>
        <stp>ACB</stp>
        <tr r="G222" s="1"/>
      </tp>
      <tp t="s">
        <v>-0.59%</v>
        <stp/>
        <stp>MARK_PERCENT_CHANGE</stp>
        <stp>CYH</stp>
        <tr r="E109" s="1"/>
      </tp>
      <tp t="s">
        <v>-1.54%</v>
        <stp/>
        <stp>MARK_PERCENT_CHANGE</stp>
        <stp>CXM</stp>
        <tr r="E206" s="1"/>
      </tp>
      <tp t="s">
        <v>WEARABLE DEVICES LTD</v>
        <stp/>
        <stp>DESCRIPTION</stp>
        <stp>WLDS</stp>
        <tr r="B215" s="1"/>
      </tp>
      <tp t="s">
        <v>SOLID PWR INC A</v>
        <stp/>
        <stp>DESCRIPTION</stp>
        <stp>SLDP</stp>
        <tr r="B125" s="1"/>
      </tp>
      <tp t="s">
        <v>ELEDON PHARMACEUTICA</v>
        <stp/>
        <stp>DESCRIPTION</stp>
        <stp>ELDN</stp>
        <tr r="B225" s="1"/>
      </tp>
      <tp t="s">
        <v>MOOLEC SCIENCE SA</v>
        <stp/>
        <stp>DESCRIPTION</stp>
        <stp>MLEC</stp>
        <tr r="B143" s="1"/>
      </tp>
      <tp t="s">
        <v>SOLAI LTD ADR A ADR</v>
        <stp/>
        <stp>DESCRIPTION</stp>
        <stp>SLAI</stp>
        <tr r="B81" s="1"/>
      </tp>
      <tp t="s">
        <v>PMGC HLDGS INC</v>
        <stp/>
        <stp>DESCRIPTION</stp>
        <stp>ELAB</stp>
        <tr r="B119" s="1"/>
      </tp>
      <tp t="s">
        <v>FRONTIER GROUP HLDGS</v>
        <stp/>
        <stp>DESCRIPTION</stp>
        <stp>ULCC</stp>
        <tr r="B153" s="1"/>
      </tp>
      <tp t="s">
        <v>SOLUNA HOLDINGS INC</v>
        <stp/>
        <stp>DESCRIPTION</stp>
        <stp>SLNH</stp>
        <tr r="B148" s="1"/>
        <tr r="B88" s="1"/>
      </tp>
      <tp t="s">
        <v>GREENLAND ENERGY CO</v>
        <stp/>
        <stp>DESCRIPTION</stp>
        <stp>GLND</stp>
        <tr r="B156" s="1"/>
      </tp>
      <tp>
        <v>2.2810000000000001</v>
        <stp/>
        <stp>MARK</stp>
        <stp>NPT</stp>
        <tr r="C183" s="1"/>
      </tp>
      <tp t="s">
        <v>CLICK HLDGS LTD A</v>
        <stp/>
        <stp>DESCRIPTION</stp>
        <stp>CLIK</stp>
        <tr r="B193" s="1"/>
      </tp>
      <tp t="s">
        <v>PLUG PWR INC</v>
        <stp/>
        <stp>DESCRIPTION</stp>
        <stp>PLUG</stp>
        <tr r="B104" s="1"/>
      </tp>
      <tp>
        <v>-0.215</v>
        <stp/>
        <stp>MARK_CHANGE</stp>
        <stp>FJET</stp>
        <tr r="D195" s="1"/>
      </tp>
      <tp t="s">
        <v>ELONG PWR HLDG LTD A</v>
        <stp/>
        <stp>DESCRIPTION</stp>
        <stp>ELPW</stp>
        <tr r="B73" s="1"/>
        <tr r="B201" s="1"/>
      </tp>
      <tp t="s">
        <v>-1.45%</v>
        <stp/>
        <stp>MARK_PERCENT_CHANGE</stp>
        <stp>BTG</stp>
        <tr r="E139" s="1"/>
      </tp>
      <tp>
        <v>5.12</v>
        <stp/>
        <stp>ASK</stp>
        <stp>CXM</stp>
        <tr r="H206" s="1"/>
      </tp>
      <tp>
        <v>3.37</v>
        <stp/>
        <stp>ASK</stp>
        <stp>CYH</stp>
        <tr r="H109" s="1"/>
      </tp>
      <tp t="s">
        <v>TMD ENERGY LTD</v>
        <stp/>
        <stp>DESCRIPTION</stp>
        <stp>TMDE</stp>
        <tr r="B116" s="1"/>
      </tp>
      <tp t="s">
        <v>PRIMECH HLDGS LTD</v>
        <stp/>
        <stp>DESCRIPTION</stp>
        <stp>PMEC</stp>
        <tr r="B129" s="1"/>
      </tp>
      <tp t="s">
        <v>NEWSMAX INC B</v>
        <stp/>
        <stp>DESCRIPTION</stp>
        <stp>NMAX</stp>
        <tr r="B185" s="1"/>
        <tr r="B78" s="1"/>
      </tp>
      <tp t="s">
        <v>ARDAGH METAL PACKAGI</v>
        <stp/>
        <stp>DESCRIPTION</stp>
        <stp>AMBP</stp>
        <tr r="B159" s="1"/>
      </tp>
      <tp t="s">
        <v>CLEARMIND MEDICINE I</v>
        <stp/>
        <stp>DESCRIPTION</stp>
        <stp>CMND</stp>
        <tr r="B77" s="1"/>
      </tp>
      <tp t="s">
        <v>COMPASS PATHWAYS ADR ADR</v>
        <stp/>
        <stp>DESCRIPTION</stp>
        <stp>CMPS</stp>
        <tr r="B137" s="1"/>
      </tp>
      <tp t="s">
        <v>TERRESTRIAL ENERGY I A</v>
        <stp/>
        <stp>DESCRIPTION</stp>
        <stp>IMSR</stp>
        <tr r="B127" s="1"/>
      </tp>
      <tp t="s">
        <v>REAL MESSENGER CORP</v>
        <stp/>
        <stp>DESCRIPTION</stp>
        <stp>RMSG</stp>
        <tr r="B202" s="1"/>
      </tp>
      <tp>
        <v>7.67</v>
        <stp/>
        <stp>BID</stp>
        <stp>AGPU</stp>
        <tr r="G70" s="1"/>
        <tr r="G184" s="1"/>
      </tp>
      <tp>
        <v>3.07</v>
        <stp/>
        <stp>BID</stp>
        <stp>UGRO</stp>
        <tr r="G117" s="1"/>
      </tp>
      <tp>
        <v>4234360</v>
        <stp/>
        <stp>VOLUME</stp>
        <stp>LAC</stp>
        <tr r="F90" s="1"/>
      </tp>
      <tp>
        <v>1137765</v>
        <stp/>
        <stp>VOLUME</stp>
        <stp>LPL</stp>
        <tr r="F186" s="1"/>
      </tp>
      <tp t="s">
        <v>-2.95%</v>
        <stp/>
        <stp>MARK_PERCENT_CHANGE</stp>
        <stp>ACB</stp>
        <tr r="E222" s="1"/>
      </tp>
      <tp>
        <v>5.1100000000000003</v>
        <stp/>
        <stp>BID</stp>
        <stp>CXM</stp>
        <tr r="G206" s="1"/>
      </tp>
      <tp>
        <v>3.36</v>
        <stp/>
        <stp>BID</stp>
        <stp>CYH</stp>
        <tr r="G109" s="1"/>
      </tp>
      <tp t="s">
        <v>+6.80%</v>
        <stp/>
        <stp>MARK_PERCENT_CHANGE</stp>
        <stp>ALT</stp>
        <tr r="E189" s="1"/>
      </tp>
      <tp t="s">
        <v>loading</v>
        <stp/>
        <stp>CUSTOM2</stp>
        <stp>PSRHF</stp>
        <tr r="K197" s="1"/>
      </tp>
      <tp t="s">
        <v>loading</v>
        <stp/>
        <stp>CUSTOM3</stp>
        <stp>ADSLF</stp>
        <tr r="J108" s="1"/>
      </tp>
      <tp t="s">
        <v>loading</v>
        <stp/>
        <stp>CUSTOM2</stp>
        <stp>CURLF</stp>
        <tr r="K192" s="1"/>
      </tp>
      <tp t="s">
        <v>1,659 M</v>
        <stp/>
        <stp>MARKET_CAP</stp>
        <stp>SHLS</stp>
        <tr r="I155" s="1"/>
      </tp>
      <tp>
        <v>1.335</v>
        <stp/>
        <stp>MARK</stp>
        <stp>ADSLF</stp>
        <tr r="C108" s="1"/>
      </tp>
      <tp>
        <v>1.1100000000000001</v>
        <stp/>
        <stp>BID</stp>
        <stp>BDMD</stp>
        <tr r="G141" s="1"/>
      </tp>
      <tp t="s">
        <v>INDIE SEMICONDUCTOR A</v>
        <stp/>
        <stp>DESCRIPTION</stp>
        <stp>INDI</stp>
        <tr r="B161" s="1"/>
      </tp>
      <tp>
        <v>4.57</v>
        <stp/>
        <stp>BID</stp>
        <stp>CDLX</stp>
        <tr r="G146" s="1"/>
      </tp>
      <tp>
        <v>5.73</v>
        <stp/>
        <stp>BID</stp>
        <stp>TDIC</stp>
        <tr r="G168" s="1"/>
      </tp>
      <tp t="s">
        <v>QUINCE THERAPEUTICS</v>
        <stp/>
        <stp>DESCRIPTION</stp>
        <stp>QNCX</stp>
        <tr r="B154" s="1"/>
      </tp>
      <tp t="s">
        <v>ALEANNA INC A</v>
        <stp/>
        <stp>DESCRIPTION</stp>
        <stp>ANNA</stp>
        <tr r="B85" s="1"/>
      </tp>
      <tp>
        <v>3.8450000000000002</v>
        <stp/>
        <stp>MARK</stp>
        <stp>LPL</stp>
        <tr r="C186" s="1"/>
      </tp>
      <tp t="s">
        <v>NANO-X IMAGING LTD</v>
        <stp/>
        <stp>DESCRIPTION</stp>
        <stp>NNOX</stp>
        <tr r="B212" s="1"/>
      </tp>
      <tp t="s">
        <v>MOMENTUS INC A</v>
        <stp/>
        <stp>DESCRIPTION</stp>
        <stp>MNTS</stp>
        <tr r="B145" s="1"/>
      </tp>
      <tp t="s">
        <v>ZENTALIS PHARMACEUTI</v>
        <stp/>
        <stp>DESCRIPTION</stp>
        <stp>ZNTL</stp>
        <tr r="B166" s="1"/>
      </tp>
      <tp t="s">
        <v>ENOVIX CORP</v>
        <stp/>
        <stp>DESCRIPTION</stp>
        <stp>ENVX</stp>
        <tr r="B110" s="1"/>
      </tp>
      <tp t="s">
        <v>ENVERIC BIOSCIENCES</v>
        <stp/>
        <stp>DESCRIPTION</stp>
        <stp>ENVB</stp>
        <tr r="B177" s="1"/>
      </tp>
      <tp t="s">
        <v>GENPREX INC</v>
        <stp/>
        <stp>DESCRIPTION</stp>
        <stp>GNPX</stp>
        <tr r="B160" s="1"/>
      </tp>
      <tp>
        <v>19</v>
        <stp/>
        <stp>BID</stp>
        <stp>JDZG</stp>
        <tr r="G152" s="1"/>
      </tp>
      <tp>
        <v>3.86</v>
        <stp/>
        <stp>MARK</stp>
        <stp>LAC</stp>
        <tr r="C90" s="1"/>
      </tp>
      <tp>
        <v>0.6</v>
        <stp/>
        <stp>MARK_CHANGE</stp>
        <stp>SHLS</stp>
        <tr r="D155" s="1"/>
      </tp>
      <tp t="s">
        <v>977 M</v>
        <stp/>
        <stp>MARKET_CAP</stp>
        <stp>HIVE</stp>
        <tr r="I98" s="1"/>
      </tp>
      <tp>
        <v>2.8</v>
        <stp/>
        <stp>ASK</stp>
        <stp>ACB</stp>
        <tr r="H222" s="1"/>
      </tp>
      <tp>
        <v>3.14</v>
        <stp/>
        <stp>ASK</stp>
        <stp>ALT</stp>
        <tr r="H189" s="1"/>
      </tp>
      <tp t="s">
        <v>+2.78%</v>
        <stp/>
        <stp>MARK_PERCENT_CHANGE</stp>
        <stp>RR</stp>
        <tr r="E103" s="1"/>
      </tp>
      <tp t="s">
        <v>-0.20%</v>
        <stp/>
        <stp>MARK_PERCENT_CHANGE</stp>
        <stp>QS</stp>
        <tr r="E170" s="1"/>
        <tr r="E132" s="1"/>
      </tp>
      <tp>
        <v>3.73</v>
        <stp/>
        <stp>BID</stp>
        <stp>BTG</stp>
        <tr r="G139" s="1"/>
      </tp>
      <tp t="s">
        <v>1.8 M</v>
        <stp/>
        <stp>MARKET_CAP</stp>
        <stp>AIXI</stp>
        <tr r="I130" s="1"/>
        <tr r="I179" s="1"/>
      </tp>
      <tp t="s">
        <v>+1.39%</v>
        <stp/>
        <stp>MARK_PERCENT_CHANGE</stp>
        <stp>PD</stp>
        <tr r="E231" s="1"/>
      </tp>
      <tp t="s">
        <v>1.8 M</v>
        <stp/>
        <stp>MARKET_CAP</stp>
        <stp>BIYA</stp>
        <tr r="I71" s="1"/>
      </tp>
      <tp t="s">
        <v>+7.55%</v>
        <stp/>
        <stp>MARK_PERCENT_CHANGE</stp>
        <stp>TE</stp>
        <tr r="E94" s="1"/>
      </tp>
      <tp t="s">
        <v>5.1 M</v>
        <stp/>
        <stp>MARKET_CAP</stp>
        <stp>BIAF</stp>
        <tr r="I229" s="1"/>
      </tp>
      <tp t="s">
        <v>+3.90%</v>
        <stp/>
        <stp>MARK_PERCENT_CHANGE</stp>
        <stp>MX</stp>
        <tr r="E113" s="1"/>
      </tp>
      <tp t="s">
        <v>272 M</v>
        <stp/>
        <stp>MARKET_CAP</stp>
        <stp>SIDU</stp>
        <tr r="I223" s="1"/>
        <tr r="I115" s="1"/>
      </tp>
      <tp t="s">
        <v>0.53 M</v>
        <stp/>
        <stp>MARKET_CAP</stp>
        <stp>KIDZ</stp>
        <tr r="I74" s="1"/>
      </tp>
      <tp t="s">
        <v>loading</v>
        <stp/>
        <stp>CUSTOM3</stp>
        <stp>PSRHF</stp>
        <tr r="J197" s="1"/>
      </tp>
      <tp>
        <v>1.2</v>
        <stp/>
        <stp>MARK</stp>
        <stp>PSRHF</stp>
        <tr r="C197" s="1"/>
      </tp>
      <tp t="s">
        <v>loading</v>
        <stp/>
        <stp>CUSTOM2</stp>
        <stp>ADSLF</stp>
        <tr r="K108" s="1"/>
      </tp>
      <tp t="s">
        <v>loading</v>
        <stp/>
        <stp>CUSTOM3</stp>
        <stp>CURLF</stp>
        <tr r="J192" s="1"/>
      </tp>
      <tp t="s">
        <v>-1.50%</v>
        <stp/>
        <stp>MARK_PERCENT_CHANGE</stp>
        <stp>EU</stp>
        <tr r="E120" s="1"/>
      </tp>
      <tp>
        <v>3.64</v>
        <stp/>
        <stp>MARK</stp>
        <stp>CURLF</stp>
        <tr r="C192" s="1"/>
      </tp>
      <tp>
        <v>-0.105</v>
        <stp/>
        <stp>MARK_CHANGE</stp>
        <stp>HIVE</stp>
        <tr r="D98" s="1"/>
      </tp>
      <tp>
        <v>1.48</v>
        <stp/>
        <stp>BID</stp>
        <stp>ZENA</stp>
        <tr r="G123" s="1"/>
      </tp>
      <tp>
        <v>1.8</v>
        <stp/>
        <stp>BID</stp>
        <stp>RENX</stp>
        <tr r="G162" s="1"/>
      </tp>
      <tp>
        <v>3</v>
        <stp/>
        <stp>BID</stp>
        <stp>EEIQ</stp>
        <tr r="G221" s="1"/>
      </tp>
      <tp t="s">
        <v>JOBY AVIATION INC A</v>
        <stp/>
        <stp>DESCRIPTION</stp>
        <stp>JOBY</stp>
        <tr r="B105" s="1"/>
      </tp>
      <tp t="s">
        <v>LOBO TECHNOLOGIES LT A</v>
        <stp/>
        <stp>DESCRIPTION</stp>
        <stp>LOBO</stp>
        <tr r="B75" s="1"/>
      </tp>
      <tp t="s">
        <v>HIGH ROLLER TECHNOLO</v>
        <stp/>
        <stp>DESCRIPTION</stp>
        <stp>ROLR</stp>
        <tr r="B114" s="1"/>
      </tp>
      <tp>
        <v>5.74</v>
        <stp/>
        <stp>BID</stp>
        <stp>KEEL</stp>
        <tr r="G173" s="1"/>
        <tr r="G128" s="1"/>
      </tp>
      <tp t="s">
        <v>DOMO INC B</v>
        <stp/>
        <stp>DESCRIPTION</stp>
        <stp>DOMO</stp>
        <tr r="B227" s="1"/>
      </tp>
      <tp t="s">
        <v>EON RESOURCES INC A</v>
        <stp/>
        <stp>DESCRIPTION</stp>
        <stp>EONR</stp>
        <tr r="B111" s="1"/>
      </tp>
      <tp>
        <v>5.97</v>
        <stp/>
        <stp>BID</stp>
        <stp>WEAV</stp>
        <tr r="G220" s="1"/>
      </tp>
      <tp>
        <v>0.03</v>
        <stp/>
        <stp>MARK_CHANGE</stp>
        <stp>AIXI</stp>
        <tr r="D179" s="1"/>
        <tr r="D130" s="1"/>
      </tp>
      <tp>
        <v>1.24</v>
        <stp/>
        <stp>BID</stp>
        <stp>RECT</stp>
        <tr r="G133" s="1"/>
      </tp>
      <tp>
        <v>0.16170000000000001</v>
        <stp/>
        <stp>MARK_CHANGE</stp>
        <stp>BIYA</stp>
        <tr r="D71" s="1"/>
      </tp>
      <tp t="s">
        <v>SOUNDHOUND AI INC A</v>
        <stp/>
        <stp>DESCRIPTION</stp>
        <stp>SOUN</stp>
        <tr r="B99" s="1"/>
      </tp>
      <tp>
        <v>-8.0100000000000005E-2</v>
        <stp/>
        <stp>MARK_CHANGE</stp>
        <stp>SIDU</stp>
        <tr r="D223" s="1"/>
        <tr r="D115" s="1"/>
      </tp>
      <tp>
        <v>-4.8000000000000001E-2</v>
        <stp/>
        <stp>MARK_CHANGE</stp>
        <stp>KIDZ</stp>
        <tr r="D74" s="1"/>
      </tp>
      <tp t="s">
        <v>KOPIN CORP</v>
        <stp/>
        <stp>DESCRIPTION</stp>
        <stp>KOPN</stp>
        <tr r="B169" s="1"/>
      </tp>
      <tp>
        <v>8.8999999999999999E-3</v>
        <stp/>
        <stp>MARK_CHANGE</stp>
        <stp>BIAF</stp>
        <tr r="D229" s="1"/>
      </tp>
      <tp t="s">
        <v>EOS ENERGY ENTERPRIS A</v>
        <stp/>
        <stp>DESCRIPTION</stp>
        <stp>EOSE</stp>
        <tr r="B102" s="1"/>
      </tp>
      <tp>
        <v>2.4700000000000002</v>
        <stp/>
        <stp>BID</stp>
        <stp>RETO</stp>
        <tr r="G72" s="1"/>
      </tp>
      <tp>
        <v>11.25</v>
        <stp/>
        <stp>BID</stp>
        <stp>REPL</stp>
        <tr r="G122" s="1"/>
        <tr r="G175" s="1"/>
      </tp>
      <tp>
        <v>7580</v>
        <stp/>
        <stp>VOLUME</stp>
        <stp>NPT</stp>
        <tr r="F183" s="1"/>
      </tp>
      <tp t="s">
        <v>5.5 M</v>
        <stp/>
        <stp>MARKET_CAP</stp>
        <stp>GNPX</stp>
        <tr r="I160" s="1"/>
      </tp>
      <tp t="s">
        <v>5.5 M</v>
        <stp/>
        <stp>MARKET_CAP</stp>
        <stp>ENVB</stp>
        <tr r="I177" s="1"/>
      </tp>
      <tp t="s">
        <v>1,347 M</v>
        <stp/>
        <stp>MARKET_CAP</stp>
        <stp>ENVX</stp>
        <tr r="I110" s="1"/>
      </tp>
      <tp t="s">
        <v>350 M</v>
        <stp/>
        <stp>MARKET_CAP</stp>
        <stp>ZNTL</stp>
        <tr r="I166" s="1"/>
      </tp>
      <tp t="s">
        <v>128 M</v>
        <stp/>
        <stp>MARKET_CAP</stp>
        <stp>MNTS</stp>
        <tr r="I145" s="1"/>
      </tp>
      <tp t="s">
        <v>17 M</v>
        <stp/>
        <stp>MARKET_CAP</stp>
        <stp>QNCX</stp>
        <tr r="I154" s="1"/>
      </tp>
      <tp t="s">
        <v>-1.03%</v>
        <stp/>
        <stp>MARK_PERCENT_CHANGE</stp>
        <stp>GTM</stp>
        <tr r="E209" s="1"/>
      </tp>
      <tp t="s">
        <v>912 M</v>
        <stp/>
        <stp>MARKET_CAP</stp>
        <stp>INDI</stp>
        <tr r="I161" s="1"/>
      </tp>
      <tp t="s">
        <v>+0.23%</v>
        <stp/>
        <stp>MARK_PERCENT_CHANGE</stp>
        <stp>GPK</stp>
        <tr r="E140" s="1"/>
      </tp>
      <tp t="s">
        <v>113 M</v>
        <stp/>
        <stp>MARKET_CAP</stp>
        <stp>ANNA</stp>
        <tr r="I85" s="1"/>
      </tp>
      <tp t="s">
        <v>85 M</v>
        <stp/>
        <stp>MARKET_CAP</stp>
        <stp>NNOX</stp>
        <tr r="I212" s="1"/>
      </tp>
      <tp>
        <v>-1.4999999999999999E-2</v>
        <stp/>
        <stp>MARK_CHANGE</stp>
        <stp>ENVB</stp>
        <tr r="D177" s="1"/>
      </tp>
      <tp>
        <v>7.4999999999999997E-2</v>
        <stp/>
        <stp>MARK_CHANGE</stp>
        <stp>ENVX</stp>
        <tr r="D110" s="1"/>
      </tp>
      <tp>
        <v>5.65</v>
        <stp/>
        <stp>BID</stp>
        <stp>JBLU</stp>
        <tr r="G151" s="1"/>
      </tp>
      <tp>
        <v>9.24</v>
        <stp/>
        <stp>BID</stp>
        <stp>MBLY</stp>
        <tr r="G171" s="1"/>
      </tp>
      <tp>
        <v>0.3</v>
        <stp/>
        <stp>MARK_CHANGE</stp>
        <stp>ZNTL</stp>
        <tr r="D166" s="1"/>
      </tp>
      <tp>
        <v>-0.51</v>
        <stp/>
        <stp>MARK_CHANGE</stp>
        <stp>MNTS</stp>
        <tr r="D145" s="1"/>
      </tp>
      <tp>
        <v>-5.3E-3</v>
        <stp/>
        <stp>MARK_CHANGE</stp>
        <stp>GNPX</stp>
        <tr r="D160" s="1"/>
      </tp>
      <tp t="s">
        <v>SHOALS TECHNOLOGIES A</v>
        <stp/>
        <stp>DESCRIPTION</stp>
        <stp>SHLS</stp>
        <tr r="B155" s="1"/>
      </tp>
      <tp>
        <v>3.68</v>
        <stp/>
        <stp>BID</stp>
        <stp>BBAI</stp>
        <tr r="G84" s="1"/>
      </tp>
      <tp>
        <v>0.55500000000000005</v>
        <stp/>
        <stp>MARK_CHANGE</stp>
        <stp>INDI</stp>
        <tr r="D161" s="1"/>
      </tp>
      <tp>
        <v>16.539400000000001</v>
        <stp/>
        <stp>MARK_CHANGE</stp>
        <stp>QNCX</stp>
        <tr r="D154" s="1"/>
      </tp>
      <tp>
        <v>-9.5000000000000001E-2</v>
        <stp/>
        <stp>MARK_CHANGE</stp>
        <stp>ANNA</stp>
        <tr r="D85" s="1"/>
      </tp>
      <tp>
        <v>0.83</v>
        <stp/>
        <stp>BID</stp>
        <stp>WBUY</stp>
        <tr r="G204" s="1"/>
      </tp>
      <tp>
        <v>0.67700000000000005</v>
        <stp/>
        <stp>BID</stp>
        <stp>ABTC</stp>
        <tr r="G106" s="1"/>
      </tp>
      <tp>
        <v>1.1599999999999999</v>
        <stp/>
        <stp>BID</stp>
        <stp>ABTS</stp>
        <tr r="G194" s="1"/>
      </tp>
      <tp>
        <v>0.01</v>
        <stp/>
        <stp>MARK_CHANGE</stp>
        <stp>NNOX</stp>
        <tr r="D212" s="1"/>
      </tp>
      <tp>
        <v>3.2233999999999998</v>
        <stp/>
        <stp>MARK</stp>
        <stp>JEM</stp>
        <tr r="C199" s="1"/>
      </tp>
      <tp>
        <v>11.65</v>
        <stp/>
        <stp>BID</stp>
        <stp>ABSI</stp>
        <tr r="G138" s="1"/>
      </tp>
      <tp>
        <v>8.7899999999999991</v>
        <stp/>
        <stp>BID</stp>
        <stp>IBRX</stp>
        <tr r="G87" s="1"/>
      </tp>
      <tp>
        <v>1032178</v>
        <stp/>
        <stp>VOLUME</stp>
        <stp>IKT</stp>
        <tr r="F144" s="1"/>
      </tp>
      <tp>
        <v>1008691</v>
        <stp/>
        <stp>VOLUME</stp>
        <stp>INV</stp>
        <tr r="F163" s="1"/>
      </tp>
      <tp>
        <v>81454</v>
        <stp/>
        <stp>VOLUME</stp>
        <stp>IPW</stp>
        <tr r="F198" s="1"/>
      </tp>
      <tp t="s">
        <v>1,954 M</v>
        <stp/>
        <stp>MARKET_CAP</stp>
        <stp>EOSE</stp>
        <tr r="I102" s="1"/>
      </tp>
      <tp t="s">
        <v>844 M</v>
        <stp/>
        <stp>MARKET_CAP</stp>
        <stp>KOPN</stp>
        <tr r="I169" s="1"/>
      </tp>
      <tp t="s">
        <v>2,794 M</v>
        <stp/>
        <stp>MARKET_CAP</stp>
        <stp>SOUN</stp>
        <tr r="I99" s="1"/>
      </tp>
      <tp>
        <v>2.9</v>
        <stp/>
        <stp>ASK</stp>
        <stp>GTM</stp>
        <tr r="H209" s="1"/>
      </tp>
      <tp t="s">
        <v>8.9 M</v>
        <stp/>
        <stp>MARKET_CAP</stp>
        <stp>LOBO</stp>
        <tr r="I75" s="1"/>
      </tp>
      <tp t="s">
        <v>8,804 M</v>
        <stp/>
        <stp>MARKET_CAP</stp>
        <stp>JOBY</stp>
        <tr r="I105" s="1"/>
      </tp>
      <tp>
        <v>10.68</v>
        <stp/>
        <stp>ASK</stp>
        <stp>GPK</stp>
        <tr r="H140" s="1"/>
      </tp>
      <tp t="s">
        <v>23 M</v>
        <stp/>
        <stp>MARKET_CAP</stp>
        <stp>EONR</stp>
        <tr r="I111" s="1"/>
      </tp>
      <tp t="s">
        <v>67 M</v>
        <stp/>
        <stp>MARKET_CAP</stp>
        <stp>ROLR</stp>
        <tr r="I114" s="1"/>
      </tp>
      <tp t="s">
        <v>137 M</v>
        <stp/>
        <stp>MARKET_CAP</stp>
        <stp>DOMO</stp>
        <tr r="I227" s="1"/>
      </tp>
      <tp t="s">
        <v>KIDZ AI INC</v>
        <stp/>
        <stp>DESCRIPTION</stp>
        <stp>KIDZ</stp>
        <tr r="B74" s="1"/>
      </tp>
      <tp t="s">
        <v>SIDUS SPACE INC A</v>
        <stp/>
        <stp>DESCRIPTION</stp>
        <stp>SIDU</stp>
        <tr r="B115" s="1"/>
        <tr r="B223" s="1"/>
      </tp>
      <tp>
        <v>7.77</v>
        <stp/>
        <stp>ASK</stp>
        <stp>RYAM</stp>
        <tr r="H134" s="1"/>
      </tp>
      <tp>
        <v>5.5E-2</v>
        <stp/>
        <stp>MARK_CHANGE</stp>
        <stp>SOUN</stp>
        <tr r="D99" s="1"/>
      </tp>
      <tp>
        <v>-0.33500000000000002</v>
        <stp/>
        <stp>MARK_CHANGE</stp>
        <stp>EOSE</stp>
        <tr r="D102" s="1"/>
      </tp>
      <tp t="s">
        <v>-4.59%</v>
        <stp/>
        <stp>MARK_PERCENT_CHANGE</stp>
        <stp>JZXN</stp>
        <tr r="E91" s="1"/>
      </tp>
      <tp>
        <v>4.71</v>
        <stp/>
        <stp>BID</stp>
        <stp>ACHR</stp>
        <tr r="G107" s="1"/>
      </tp>
      <tp t="s">
        <v>BIOAFFINITY TECHNOLO</v>
        <stp/>
        <stp>DESCRIPTION</stp>
        <stp>BIAF</stp>
        <tr r="B229" s="1"/>
      </tp>
      <tp>
        <v>0.23499999999999999</v>
        <stp/>
        <stp>MARK_CHANGE</stp>
        <stp>KOPN</stp>
        <tr r="D169" s="1"/>
      </tp>
      <tp>
        <v>5.65</v>
        <stp/>
        <stp>BID</stp>
        <stp>ACDC</stp>
        <tr r="G142" s="1"/>
      </tp>
      <tp>
        <v>1.57</v>
        <stp/>
        <stp>BID</stp>
        <stp>OCGN</stp>
        <tr r="G147" s="1"/>
      </tp>
      <tp>
        <v>0.77190000000000003</v>
        <stp/>
        <stp>ASK</stp>
        <stp>BYND</stp>
        <tr r="H214" s="1"/>
      </tp>
      <tp>
        <v>1.21</v>
        <stp/>
        <stp>BID</stp>
        <stp>UCAR</stp>
        <tr r="G172" s="1"/>
      </tp>
      <tp>
        <v>0.66690000000000005</v>
        <stp/>
        <stp>BID</stp>
        <stp>YCBD</stp>
        <tr r="G176" s="1"/>
      </tp>
      <tp t="s">
        <v>HIVE DIGITAL TECHNOL</v>
        <stp/>
        <stp>DESCRIPTION</stp>
        <stp>HIVE</stp>
        <tr r="B98" s="1"/>
      </tp>
      <tp>
        <v>-2.3E-2</v>
        <stp/>
        <stp>MARK_CHANGE</stp>
        <stp>LOBO</stp>
        <tr r="D75" s="1"/>
      </tp>
      <tp>
        <v>0.32</v>
        <stp/>
        <stp>MARK_CHANGE</stp>
        <stp>JOBY</stp>
        <tr r="D105" s="1"/>
      </tp>
      <tp>
        <v>1.56</v>
        <stp/>
        <stp>BID</stp>
        <stp>ACXP</stp>
        <tr r="G228" s="1"/>
      </tp>
      <tp>
        <v>9.07</v>
        <stp/>
        <stp>ASK</stp>
        <stp>KYTX</stp>
        <tr r="H207" s="1"/>
      </tp>
      <tp>
        <v>-1.4800000000000001E-2</v>
        <stp/>
        <stp>MARK_CHANGE</stp>
        <stp>EONR</stp>
        <tr r="D111" s="1"/>
      </tp>
      <tp>
        <v>3.07</v>
        <stp/>
        <stp>BID</stp>
        <stp>GCTS</stp>
        <tr r="G149" s="1"/>
      </tp>
      <tp>
        <v>0.08</v>
        <stp/>
        <stp>MARK_CHANGE</stp>
        <stp>ROLR</stp>
        <tr r="D114" s="1"/>
      </tp>
      <tp>
        <v>0.191</v>
        <stp/>
        <stp>MARK_CHANGE</stp>
        <stp>DOMO</stp>
        <tr r="D227" s="1"/>
      </tp>
      <tp t="s">
        <v>-0.36%</v>
        <stp/>
        <stp>MARK_PERCENT_CHANGE</stp>
        <stp>BZAI</stp>
        <tr r="E218" s="1"/>
      </tp>
      <tp t="s">
        <v>XIAO-I CORP ADR</v>
        <stp/>
        <stp>DESCRIPTION</stp>
        <stp>AIXI</stp>
        <tr r="B179" s="1"/>
        <tr r="B130" s="1"/>
      </tp>
      <tp t="s">
        <v>BAIYA INTL GROUP INC</v>
        <stp/>
        <stp>DESCRIPTION</stp>
        <stp>BIYA</stp>
        <tr r="B71" s="1"/>
      </tp>
      <tp>
        <v>5.24</v>
        <stp/>
        <stp>BID</stp>
        <stp>ACRS</stp>
        <tr r="G135" s="1"/>
      </tp>
      <tp>
        <v>398131</v>
        <stp/>
        <stp>VOLUME</stp>
        <stp>HLX</stp>
        <tr r="F150" s="1"/>
      </tp>
      <tp>
        <v>27740651</v>
        <stp/>
        <stp>VOLUME</stp>
        <stp>HTZ</stp>
        <tr r="F230" s="1"/>
      </tp>
      <tp t="s">
        <v>3.1 M</v>
        <stp/>
        <stp>MARKET_CAP</stp>
        <stp>ELPW</stp>
        <tr r="I73" s="1"/>
        <tr r="I201" s="1"/>
      </tp>
      <tp t="s">
        <v>3,866 M</v>
        <stp/>
        <stp>MARKET_CAP</stp>
        <stp>PLUG</stp>
        <tr r="I104" s="1"/>
      </tp>
      <tp>
        <v>2.89</v>
        <stp/>
        <stp>BID</stp>
        <stp>GTM</stp>
        <tr r="G209" s="1"/>
      </tp>
      <tp>
        <v>10.67</v>
        <stp/>
        <stp>BID</stp>
        <stp>GPK</stp>
        <tr r="G140" s="1"/>
      </tp>
      <tp t="s">
        <v>1,797 M</v>
        <stp/>
        <stp>MARKET_CAP</stp>
        <stp>ULCC</stp>
        <tr r="I153" s="1"/>
      </tp>
      <tp t="s">
        <v>5.5 M</v>
        <stp/>
        <stp>MARKET_CAP</stp>
        <stp>ELAB</stp>
        <tr r="I119" s="1"/>
      </tp>
      <tp t="s">
        <v>15 M</v>
        <stp/>
        <stp>MARKET_CAP</stp>
        <stp>SLAI</stp>
        <tr r="I81" s="1"/>
      </tp>
      <tp t="s">
        <v>308 M</v>
        <stp/>
        <stp>MARKET_CAP</stp>
        <stp>ELDN</stp>
        <tr r="I225" s="1"/>
      </tp>
      <tp t="s">
        <v>579 M</v>
        <stp/>
        <stp>MARKET_CAP</stp>
        <stp>SLDP</stp>
        <tr r="I125" s="1"/>
      </tp>
      <tp t="s">
        <v>3.6 M</v>
        <stp/>
        <stp>MARKET_CAP</stp>
        <stp>WLDS</stp>
        <tr r="I215" s="1"/>
      </tp>
      <tp t="s">
        <v>loading</v>
        <stp/>
        <stp>CUSTOM2</stp>
        <stp>LNVGF</stp>
        <tr r="K112" s="1"/>
      </tp>
      <tp t="s">
        <v>5.4 M</v>
        <stp/>
        <stp>MARKET_CAP</stp>
        <stp>MLEC</stp>
        <tr r="I143" s="1"/>
      </tp>
      <tp t="s">
        <v>5 M</v>
        <stp/>
        <stp>MARKET_CAP</stp>
        <stp>CLIK</stp>
        <tr r="I193" s="1"/>
      </tp>
      <tp t="s">
        <v>94 M</v>
        <stp/>
        <stp>MARKET_CAP</stp>
        <stp>GLND</stp>
        <tr r="I156" s="1"/>
      </tp>
      <tp t="s">
        <v>217 M</v>
        <stp/>
        <stp>MARKET_CAP</stp>
        <stp>SLNH</stp>
        <tr r="I148" s="1"/>
        <tr r="I88" s="1"/>
      </tp>
      <tp t="s">
        <v>STARFIGHTERS SPACE I</v>
        <stp/>
        <stp>DESCRIPTION</stp>
        <stp>FJET</stp>
        <tr r="B195" s="1"/>
      </tp>
      <tp>
        <v>0.18110000000000001</v>
        <stp/>
        <stp>MARK_CHANGE</stp>
        <stp>PLUG</stp>
        <tr r="D104" s="1"/>
      </tp>
      <tp>
        <v>1.38</v>
        <stp/>
        <stp>ASK</stp>
        <stp>BZAI</stp>
        <tr r="H218" s="1"/>
      </tp>
      <tp>
        <v>-1.54E-2</v>
        <stp/>
        <stp>MARK_CHANGE</stp>
        <stp>ELPW</stp>
        <tr r="D201" s="1"/>
        <tr r="D73" s="1"/>
      </tp>
      <tp t="s">
        <v>+3.19%</v>
        <stp/>
        <stp>MARK_PERCENT_CHANGE</stp>
        <stp>KYTX</stp>
        <tr r="E207" s="1"/>
      </tp>
      <tp>
        <v>2.165</v>
        <stp/>
        <stp>MARK</stp>
        <stp>HTZ</stp>
        <tr r="C230" s="1"/>
      </tp>
      <tp>
        <v>0.11</v>
        <stp/>
        <stp>MARK_CHANGE</stp>
        <stp>ELDN</stp>
        <tr r="D225" s="1"/>
      </tp>
      <tp>
        <v>-1.9E-2</v>
        <stp/>
        <stp>MARK_CHANGE</stp>
        <stp>WLDS</stp>
        <tr r="D215" s="1"/>
      </tp>
      <tp>
        <v>-2.5000000000000001E-2</v>
        <stp/>
        <stp>MARK_CHANGE</stp>
        <stp>SLDP</stp>
        <tr r="D125" s="1"/>
      </tp>
      <tp>
        <v>-0.67</v>
        <stp/>
        <stp>MARK_CHANGE</stp>
        <stp>MLEC</stp>
        <tr r="D143" s="1"/>
      </tp>
      <tp t="s">
        <v>+8.89%</v>
        <stp/>
        <stp>MARK_PERCENT_CHANGE</stp>
        <stp>BYND</stp>
        <tr r="E214" s="1"/>
      </tp>
      <tp>
        <v>0.32</v>
        <stp/>
        <stp>MARK_CHANGE</stp>
        <stp>ULCC</stp>
        <tr r="D153" s="1"/>
      </tp>
      <tp>
        <v>8.81</v>
        <stp/>
        <stp>MARK</stp>
        <stp>HLX</stp>
        <tr r="C150" s="1"/>
      </tp>
      <tp>
        <v>-5.0000000000000001E-3</v>
        <stp/>
        <stp>MARK_CHANGE</stp>
        <stp>ELAB</stp>
        <tr r="D119" s="1"/>
      </tp>
      <tp>
        <v>-0.110801</v>
        <stp/>
        <stp>MARK_CHANGE</stp>
        <stp>SLAI</stp>
        <tr r="D81" s="1"/>
      </tp>
      <tp>
        <v>-0.19500000000000001</v>
        <stp/>
        <stp>MARK_CHANGE</stp>
        <stp>GLND</stp>
        <tr r="D156" s="1"/>
      </tp>
      <tp>
        <v>-2.5000000000000001E-2</v>
        <stp/>
        <stp>MARK_CHANGE</stp>
        <stp>SLNH</stp>
        <tr r="D148" s="1"/>
        <tr r="D88" s="1"/>
      </tp>
      <tp>
        <v>1.05</v>
        <stp/>
        <stp>ASK</stp>
        <stp>JZXN</stp>
        <tr r="H91" s="1"/>
      </tp>
      <tp t="s">
        <v>-1.77%</v>
        <stp/>
        <stp>MARK_PERCENT_CHANGE</stp>
        <stp>RYAM</stp>
        <tr r="E134" s="1"/>
      </tp>
      <tp>
        <v>-0.01</v>
        <stp/>
        <stp>MARK_CHANGE</stp>
        <stp>CLIK</stp>
        <tr r="D193" s="1"/>
      </tp>
      <tp t="s">
        <v>7 M</v>
        <stp/>
        <stp>MARKET_CAP</stp>
        <stp>RMSG</stp>
        <tr r="I202" s="1"/>
      </tp>
      <tp t="s">
        <v>742 M</v>
        <stp/>
        <stp>MARKET_CAP</stp>
        <stp>IMSR</stp>
        <tr r="I127" s="1"/>
      </tp>
      <tp t="s">
        <v>1,971 M</v>
        <stp/>
        <stp>MARKET_CAP</stp>
        <stp>CMPS</stp>
        <tr r="I137" s="1"/>
      </tp>
      <tp t="s">
        <v>2,815 M</v>
        <stp/>
        <stp>MARKET_CAP</stp>
        <stp>AMBP</stp>
        <tr r="I159" s="1"/>
      </tp>
      <tp t="s">
        <v>1,071 M</v>
        <stp/>
        <stp>MARKET_CAP</stp>
        <stp>NMAX</stp>
        <tr r="I185" s="1"/>
        <tr r="I78" s="1"/>
      </tp>
      <tp>
        <v>2.9611999999999998</v>
        <stp/>
        <stp>MARK</stp>
        <stp>LNVGF</stp>
        <tr r="C112" s="1"/>
      </tp>
      <tp t="s">
        <v>18 M</v>
        <stp/>
        <stp>MARKET_CAP</stp>
        <stp>TMDE</stp>
        <tr r="I116" s="1"/>
      </tp>
      <tp t="s">
        <v>loading</v>
        <stp/>
        <stp>CUSTOM3</stp>
        <stp>LNVGF</stp>
        <tr r="J112" s="1"/>
      </tp>
      <tp t="s">
        <v>23 M</v>
        <stp/>
        <stp>MARKET_CAP</stp>
        <stp>PMEC</stp>
        <tr r="I129" s="1"/>
      </tp>
      <tp t="s">
        <v>3.3 M</v>
        <stp/>
        <stp>MARKET_CAP</stp>
        <stp>CMND</stp>
        <tr r="I77" s="1"/>
      </tp>
      <tp>
        <v>0.40489999999999998</v>
        <stp/>
        <stp>BID</stp>
        <stp>GAME</stp>
        <tr r="G80" s="1"/>
      </tp>
      <tp>
        <v>1.2001E-2</v>
        <stp/>
        <stp>MARK_CHANGE</stp>
        <stp>RMSG</stp>
        <tr r="D202" s="1"/>
      </tp>
      <tp>
        <v>-0.01</v>
        <stp/>
        <stp>MARK_CHANGE</stp>
        <stp>IMSR</stp>
        <tr r="D127" s="1"/>
      </tp>
      <tp>
        <v>-0.46500000000000002</v>
        <stp/>
        <stp>MARK_CHANGE</stp>
        <stp>CMPS</stp>
        <tr r="D137" s="1"/>
      </tp>
      <tp>
        <v>3.16</v>
        <stp/>
        <stp>BID</stp>
        <stp>LAES</stp>
        <tr r="G83" s="1"/>
      </tp>
      <tp>
        <v>2.12</v>
        <stp/>
        <stp>MARK</stp>
        <stp>IPW</stp>
        <tr r="C198" s="1"/>
      </tp>
      <tp>
        <v>1.66</v>
        <stp/>
        <stp>BID</stp>
        <stp>PACB</stp>
        <tr r="G226" s="1"/>
      </tp>
      <tp>
        <v>2</v>
        <stp/>
        <stp>MARK</stp>
        <stp>IKT</stp>
        <tr r="C144" s="1"/>
      </tp>
      <tp>
        <v>-6.2E-2</v>
        <stp/>
        <stp>MARK_CHANGE</stp>
        <stp>TMDE</stp>
        <tr r="D116" s="1"/>
      </tp>
      <tp>
        <v>-6.8900000000000003E-2</v>
        <stp/>
        <stp>MARK_CHANGE</stp>
        <stp>PMEC</stp>
        <tr r="D129" s="1"/>
      </tp>
      <tp>
        <v>0.12</v>
        <stp/>
        <stp>MARK_CHANGE</stp>
        <stp>AMBP</stp>
        <tr r="D159" s="1"/>
      </tp>
      <tp>
        <v>5.0199999999999996</v>
        <stp/>
        <stp>MARK</stp>
        <stp>INV</stp>
        <tr r="C163" s="1"/>
      </tp>
      <tp>
        <v>0.51</v>
        <stp/>
        <stp>MARK_CHANGE</stp>
        <stp>NMAX</stp>
        <tr r="D78" s="1"/>
        <tr r="D185" s="1"/>
      </tp>
      <tp>
        <v>-8.9899999999999994E-2</v>
        <stp/>
        <stp>MARK_CHANGE</stp>
        <stp>CMND</stp>
        <tr r="D77" s="1"/>
      </tp>
      <tp>
        <v>10.74</v>
        <stp/>
        <stp>BID</stp>
        <stp>PATH</stp>
        <tr r="G210" s="1"/>
      </tp>
      <tp>
        <v>5.94</v>
        <stp/>
        <stp>BID</stp>
        <stp>SATL</stp>
        <tr r="G86" s="1"/>
      </tp>
      <tp>
        <v>1.32</v>
        <stp/>
        <stp>BID</stp>
        <stp>BATL</stp>
        <tr r="G121" s="1"/>
      </tp>
      <tp>
        <v>7.83</v>
        <stp/>
        <stp>BID</stp>
        <stp>PAVS</stp>
        <tr r="G216" s="1"/>
      </tp>
      <tp>
        <v>0.88500000000000001</v>
        <stp/>
        <stp>BID</stp>
        <stp>UAVS</stp>
        <tr r="G96" s="1"/>
      </tp>
      <tp>
        <v>89588172</v>
        <stp/>
        <stp>VOLUME</stp>
        <stp>JEM</stp>
        <tr r="F199" s="1"/>
      </tp>
      <tp>
        <v>0.11119999999999999</v>
        <stp/>
        <stp>MARK_CHANGE</stp>
        <stp>LNVGF</stp>
        <tr r="D112" s="1"/>
      </tp>
      <tp>
        <v>1.375</v>
        <stp/>
        <stp>MARK</stp>
        <stp>BZAI</stp>
        <tr r="C218" s="1"/>
      </tp>
      <tp>
        <v>1.04</v>
        <stp/>
        <stp>MARK</stp>
        <stp>JZXN</stp>
        <tr r="C91" s="1"/>
      </tp>
      <tp>
        <v>2.39</v>
        <stp/>
        <stp>ASK</stp>
        <stp>QVCGP</stp>
        <tr r="H191" s="1"/>
      </tp>
      <tp>
        <v>0.77180000000000004</v>
        <stp/>
        <stp>MARK</stp>
        <stp>BYND</stp>
        <tr r="C214" s="1"/>
      </tp>
      <tp>
        <v>7.77</v>
        <stp/>
        <stp>MARK</stp>
        <stp>RYAM</stp>
        <tr r="C134" s="1"/>
      </tp>
      <tp>
        <v>9.06</v>
        <stp/>
        <stp>MARK</stp>
        <stp>KYTX</stp>
        <tr r="C207" s="1"/>
      </tp>
      <tp>
        <v>0.14000000000000001</v>
        <stp/>
        <stp>MARK_CHANGE</stp>
        <stp>PSRHF</stp>
        <tr r="D197" s="1"/>
      </tp>
      <tp>
        <v>0</v>
        <stp/>
        <stp>MARK_CHANGE</stp>
        <stp>CURLF</stp>
        <tr r="D192" s="1"/>
      </tp>
      <tp>
        <v>3.5000000000000003E-2</v>
        <stp/>
        <stp>MARK_CHANGE</stp>
        <stp>ADSLF</stp>
        <tr r="D108" s="1"/>
      </tp>
      <tp t="s">
        <v>254 M</v>
        <stp/>
        <stp>MARKET_CAP</stp>
        <stp>EU</stp>
        <tr r="I120" s="1"/>
      </tp>
      <tp t="s">
        <v>175 M</v>
        <stp/>
        <stp>MARKET_CAP</stp>
        <stp>MX</stp>
        <tr r="I113" s="1"/>
      </tp>
      <tp t="s">
        <v>2,667 M</v>
        <stp/>
        <stp>MARKET_CAP</stp>
        <stp>TE</stp>
        <tr r="I94" s="1"/>
      </tp>
      <tp t="s">
        <v>733 M</v>
        <stp/>
        <stp>MARKET_CAP</stp>
        <stp>PD</stp>
        <tr r="I231" s="1"/>
      </tp>
      <tp t="s">
        <v>4,660 M</v>
        <stp/>
        <stp>MARKET_CAP</stp>
        <stp>QS</stp>
        <tr r="I170" s="1"/>
        <tr r="I132" s="1"/>
      </tp>
      <tp t="s">
        <v>455 M</v>
        <stp/>
        <stp>MARKET_CAP</stp>
        <stp>RR</stp>
        <tr r="I103" s="1"/>
      </tp>
      <tp t="s">
        <v>QVC GROUP INC 8% 03/ 8% 03/15/2031 PFD Callable</v>
        <stp/>
        <stp>DESCRIPTION</stp>
        <stp>QVCGP</stp>
        <tr r="B191" s="1"/>
      </tp>
      <tp>
        <v>7.5949999999999998</v>
        <stp/>
        <stp>MARK</stp>
        <stp>GSIT</stp>
        <tr r="C217" s="1"/>
      </tp>
      <tp>
        <v>6.93</v>
        <stp/>
        <stp>MARK</stp>
        <stp>ASAN</stp>
        <tr r="C196" s="1"/>
      </tp>
      <tp>
        <v>0.20610000000000001</v>
        <stp/>
        <stp>MARK</stp>
        <stp>ZSPC</stp>
        <tr r="C69" s="1"/>
      </tp>
      <tp>
        <v>0.31869999999999998</v>
        <stp/>
        <stp>MARK</stp>
        <stp>GSUN</stp>
        <tr r="C82" s="1"/>
      </tp>
      <tp>
        <v>5.07</v>
        <stp/>
        <stp>MARK</stp>
        <stp>ASTI</stp>
        <tr r="C131" s="1"/>
        <tr r="C174" s="1"/>
      </tp>
      <tp>
        <v>1.1399999999999999</v>
        <stp/>
        <stp>MARK</stp>
        <stp>LRHC</stp>
        <tr r="C187" s="1"/>
      </tp>
      <tp>
        <v>9.0649999999999995</v>
        <stp/>
        <stp>MARK</stp>
        <stp>FRMI</stp>
        <tr r="C158" s="1"/>
      </tp>
      <tp>
        <v>1.635</v>
        <stp/>
        <stp>MARK</stp>
        <stp>TRON</stp>
        <tr r="C208" s="1"/>
      </tp>
      <tp>
        <v>1.1779999999999999</v>
        <stp/>
        <stp>MARK</stp>
        <stp>VRNO</stp>
        <tr r="C205" s="1"/>
      </tp>
      <tp>
        <v>0.69140000000000001</v>
        <stp/>
        <stp>MARK</stp>
        <stp>ORBS</stp>
        <tr r="C92" s="1"/>
      </tp>
      <tp>
        <v>6.87</v>
        <stp/>
        <stp>MARK</stp>
        <stp>KREF</stp>
        <tr r="C188" s="1"/>
      </tp>
      <tp>
        <v>1.1899</v>
        <stp/>
        <stp>MARK</stp>
        <stp>SRFM</stp>
        <tr r="C232" s="1"/>
        <tr r="C95" s="1"/>
      </tp>
      <tp>
        <v>0.49120000000000003</v>
        <stp/>
        <stp>MARK</stp>
        <stp>PRZO</stp>
        <tr r="C124" s="1"/>
      </tp>
      <tp>
        <v>10.15</v>
        <stp/>
        <stp>MARK</stp>
        <stp>FRSH</stp>
        <tr r="C203" s="1"/>
      </tp>
      <tp>
        <v>6.69</v>
        <stp/>
        <stp>MARK</stp>
        <stp>CPIX</stp>
        <tr r="C180" s="1"/>
      </tp>
      <tp>
        <v>4.7249999999999996</v>
        <stp/>
        <stp>MARK</stp>
        <stp>OPEN</stp>
        <tr r="C101" s="1"/>
      </tp>
      <tp>
        <v>1.98</v>
        <stp/>
        <stp>MARK</stp>
        <stp>RPGL</stp>
        <tr r="C76" s="1"/>
      </tp>
      <tp>
        <v>2.4298999999999999</v>
        <stp/>
        <stp>MARK</stp>
        <stp>IPST</stp>
        <tr r="C182" s="1"/>
      </tp>
      <tp t="s">
        <v>+3.90%</v>
        <stp/>
        <stp>MARK_PERCENT_CHANGE</stp>
        <stp>LNVGF</stp>
        <tr r="E112" s="1"/>
      </tp>
      <tp>
        <v>9.89</v>
        <stp/>
        <stp>MARK</stp>
        <stp>AVTR</stp>
        <tr r="C211" s="1"/>
      </tp>
      <tp>
        <v>3.915</v>
        <stp/>
        <stp>MARK</stp>
        <stp>FULC</stp>
        <tr r="C164" s="1"/>
      </tp>
      <tp>
        <v>6.6589999999999998</v>
        <stp/>
        <stp>MARK</stp>
        <stp>BULL</stp>
        <tr r="C89" s="1"/>
      </tp>
      <tp>
        <v>6.5650000000000004</v>
        <stp/>
        <stp>MARK</stp>
        <stp>NUAI</stp>
        <tr r="C93" s="1"/>
      </tp>
      <tp>
        <v>1.62</v>
        <stp/>
        <stp>MARK</stp>
        <stp>HUBC</stp>
        <tr r="C190" s="1"/>
      </tp>
      <tp>
        <v>1.31</v>
        <stp/>
        <stp>MARK</stp>
        <stp>AUUD</stp>
        <tr r="C181" s="1"/>
      </tp>
      <tp>
        <v>2.27</v>
        <stp/>
        <stp>BID</stp>
        <stp>QVCGP</stp>
        <tr r="G191" s="1"/>
      </tp>
      <tp t="s">
        <v>+2.69%</v>
        <stp/>
        <stp>MARK_PERCENT_CHANGE</stp>
        <stp>ADSLF</stp>
        <tr r="E108" s="1"/>
      </tp>
      <tp>
        <v>11.824999999999999</v>
        <stp/>
        <stp>MARK</stp>
        <stp>CTOS</stp>
        <tr r="C157" s="1"/>
      </tp>
      <tp>
        <v>1.8049999999999999</v>
        <stp/>
        <stp>MARK</stp>
        <stp>BTBT</stp>
        <tr r="C100" s="1"/>
      </tp>
      <tp>
        <v>11.175000000000001</v>
        <stp/>
        <stp>MARK</stp>
        <stp>NTSK</stp>
        <tr r="C224" s="1"/>
      </tp>
      <tp>
        <v>17.3</v>
        <stp/>
        <stp>MARK</stp>
        <stp>FTRE</stp>
        <tr r="C200" s="1"/>
      </tp>
      <tp t="s">
        <v>0.00%</v>
        <stp/>
        <stp>MARK_PERCENT_CHANGE</stp>
        <stp>CURLF</stp>
        <tr r="E192" s="1"/>
      </tp>
      <tp t="s">
        <v>+13.21%</v>
        <stp/>
        <stp>MARK_PERCENT_CHANGE</stp>
        <stp>PSRHF</stp>
        <tr r="E197" s="1"/>
      </tp>
      <tp>
        <v>1.2</v>
        <stp/>
        <stp>ASK</stp>
        <stp>PSRHF</stp>
        <tr r="H197" s="1"/>
      </tp>
      <tp>
        <v>3.7</v>
        <stp/>
        <stp>ASK</stp>
        <stp>CURLF</stp>
        <tr r="H192" s="1"/>
      </tp>
      <tp>
        <v>5.415</v>
        <stp/>
        <stp>MARK</stp>
        <stp>FJET</stp>
        <tr r="C195" s="1"/>
      </tp>
      <tp>
        <v>1.37</v>
        <stp/>
        <stp>ASK</stp>
        <stp>ADSLF</stp>
        <tr r="H108" s="1"/>
      </tp>
      <tp>
        <v>0.8125</v>
        <stp/>
        <stp>MARK</stp>
        <stp>BIAF</stp>
        <tr r="C229" s="1"/>
      </tp>
      <tp>
        <v>2.7898999999999998</v>
        <stp/>
        <stp>MARK</stp>
        <stp>SIDU</stp>
        <tr r="C115" s="1"/>
        <tr r="C223" s="1"/>
      </tp>
      <tp>
        <v>0.67</v>
        <stp/>
        <stp>MARK</stp>
        <stp>KIDZ</stp>
        <tr r="C74" s="1"/>
      </tp>
      <tp>
        <v>0.44369999999999998</v>
        <stp/>
        <stp>MARK</stp>
        <stp>BIYA</stp>
        <tr r="C71" s="1"/>
      </tp>
      <tp>
        <v>1.98</v>
        <stp/>
        <stp>MARK</stp>
        <stp>AIXI</stp>
        <tr r="C179" s="1"/>
        <tr r="C130" s="1"/>
      </tp>
      <tp>
        <v>3.6549999999999998</v>
        <stp/>
        <stp>MARK</stp>
        <stp>HIVE</stp>
        <tr r="C98" s="1"/>
      </tp>
      <tp t="s">
        <v>LENOVO GROUP LTD</v>
        <stp/>
        <stp>DESCRIPTION</stp>
        <stp>LNVGF</stp>
        <tr r="B112" s="1"/>
      </tp>
      <tp>
        <v>9.89</v>
        <stp/>
        <stp>MARK</stp>
        <stp>SHLS</stp>
        <tr r="C155" s="1"/>
      </tp>
      <tp>
        <v>3.0409999999999999</v>
        <stp/>
        <stp>MARK</stp>
        <stp>DOMO</stp>
        <tr r="C227" s="1"/>
      </tp>
      <tp>
        <v>6.15</v>
        <stp/>
        <stp>MARK</stp>
        <stp>ROLR</stp>
        <tr r="C114" s="1"/>
      </tp>
      <tp>
        <v>0.45040000000000002</v>
        <stp/>
        <stp>MARK</stp>
        <stp>EONR</stp>
        <tr r="C111" s="1"/>
      </tp>
      <tp>
        <v>8.9499999999999993</v>
        <stp/>
        <stp>MARK</stp>
        <stp>JOBY</stp>
        <tr r="C105" s="1"/>
      </tp>
      <tp>
        <v>0.64429999999999998</v>
        <stp/>
        <stp>MARK</stp>
        <stp>LOBO</stp>
        <tr r="C75" s="1"/>
      </tp>
      <tp>
        <v>4.5549999999999997</v>
        <stp/>
        <stp>MARK</stp>
        <stp>KOPN</stp>
        <tr r="C169" s="1"/>
      </tp>
      <tp>
        <v>5.7549999999999999</v>
        <stp/>
        <stp>MARK</stp>
        <stp>EOSE</stp>
        <tr r="C102" s="1"/>
      </tp>
      <tp>
        <v>6.4550000000000001</v>
        <stp/>
        <stp>MARK</stp>
        <stp>SOUN</stp>
        <tr r="C99" s="1"/>
      </tp>
      <tp>
        <v>3</v>
        <stp/>
        <stp>ASK</stp>
        <stp>LNVGF</stp>
        <tr r="H112" s="1"/>
      </tp>
      <tp>
        <v>1.22</v>
        <stp/>
        <stp>MARK</stp>
        <stp>NNOX</stp>
        <tr r="C212" s="1"/>
      </tp>
      <tp>
        <v>2.7650000000000001</v>
        <stp/>
        <stp>MARK</stp>
        <stp>ANNA</stp>
        <tr r="C85" s="1"/>
      </tp>
      <tp>
        <v>17.46</v>
        <stp/>
        <stp>MARK</stp>
        <stp>QNCX</stp>
        <tr r="C154" s="1"/>
      </tp>
      <tp>
        <v>4.3150000000000004</v>
        <stp/>
        <stp>MARK</stp>
        <stp>INDI</stp>
        <tr r="C161" s="1"/>
      </tp>
      <tp>
        <v>0.49969999999999998</v>
        <stp/>
        <stp>MARK</stp>
        <stp>GNPX</stp>
        <tr r="C160" s="1"/>
      </tp>
      <tp>
        <v>6.79</v>
        <stp/>
        <stp>MARK</stp>
        <stp>MNTS</stp>
        <tr r="C145" s="1"/>
      </tp>
      <tp>
        <v>4.91</v>
        <stp/>
        <stp>MARK</stp>
        <stp>ZNTL</stp>
        <tr r="C166" s="1"/>
      </tp>
      <tp>
        <v>6.1749999999999998</v>
        <stp/>
        <stp>MARK</stp>
        <stp>ENVX</stp>
        <tr r="C110" s="1"/>
      </tp>
      <tp>
        <v>1.36</v>
        <stp/>
        <stp>MARK</stp>
        <stp>ENVB</stp>
        <tr r="C177" s="1"/>
      </tp>
      <tp>
        <v>-0.18</v>
        <stp/>
        <stp>MARK_CHANGE</stp>
        <stp>QVCGP</stp>
        <tr r="D191" s="1"/>
      </tp>
      <tp>
        <v>2.2101000000000002</v>
        <stp/>
        <stp>MARK</stp>
        <stp>CMND</stp>
        <tr r="C77" s="1"/>
      </tp>
      <tp>
        <v>8.2899999999999991</v>
        <stp/>
        <stp>MARK</stp>
        <stp>NMAX</stp>
        <tr r="C185" s="1"/>
        <tr r="C78" s="1"/>
      </tp>
      <tp>
        <v>4.71</v>
        <stp/>
        <stp>MARK</stp>
        <stp>AMBP</stp>
        <tr r="C159" s="1"/>
      </tp>
      <tp>
        <v>0.61109999999999998</v>
        <stp/>
        <stp>MARK</stp>
        <stp>PMEC</stp>
        <tr r="C129" s="1"/>
      </tp>
      <tp>
        <v>0.74670000000000003</v>
        <stp/>
        <stp>MARK</stp>
        <stp>TMDE</stp>
        <tr r="C116" s="1"/>
      </tp>
      <tp>
        <v>14.605</v>
        <stp/>
        <stp>MARK</stp>
        <stp>CMPS</stp>
        <tr r="C137" s="1"/>
      </tp>
      <tp>
        <v>7</v>
        <stp/>
        <stp>MARK</stp>
        <stp>IMSR</stp>
        <tr r="C127" s="1"/>
      </tp>
      <tp>
        <v>0.49300100000000002</v>
        <stp/>
        <stp>MARK</stp>
        <stp>RMSG</stp>
        <tr r="C202" s="1"/>
      </tp>
      <tp t="s">
        <v>CURALEAF HLDGS INC</v>
        <stp/>
        <stp>DESCRIPTION</stp>
        <stp>CURLF</stp>
        <tr r="B192" s="1"/>
      </tp>
      <tp t="s">
        <v>PULSAR HELIUM INC</v>
        <stp/>
        <stp>DESCRIPTION</stp>
        <stp>PSRHF</stp>
        <tr r="B197" s="1"/>
      </tp>
      <tp>
        <v>1.53</v>
        <stp/>
        <stp>MARK</stp>
        <stp>CLIK</stp>
        <tr r="C193" s="1"/>
      </tp>
      <tp>
        <v>2.1549999999999998</v>
        <stp/>
        <stp>MARK</stp>
        <stp>GLND</stp>
        <tr r="C156" s="1"/>
      </tp>
      <tp>
        <v>1.375</v>
        <stp/>
        <stp>MARK</stp>
        <stp>SLNH</stp>
        <tr r="C88" s="1"/>
        <tr r="C148" s="1"/>
      </tp>
      <tp>
        <v>1.2050000000000001</v>
        <stp/>
        <stp>MARK</stp>
        <stp>ELAB</stp>
        <tr r="C119" s="1"/>
      </tp>
      <tp>
        <v>0.47070000000000001</v>
        <stp/>
        <stp>MARK</stp>
        <stp>SLAI</stp>
        <tr r="C81" s="1"/>
      </tp>
      <tp>
        <v>7.82</v>
        <stp/>
        <stp>MARK</stp>
        <stp>ULCC</stp>
        <tr r="C153" s="1"/>
      </tp>
      <tp>
        <v>7.42</v>
        <stp/>
        <stp>MARK</stp>
        <stp>MLEC</stp>
        <tr r="C143" s="1"/>
      </tp>
      <tp>
        <v>1.631</v>
        <stp/>
        <stp>MARK</stp>
        <stp>WLDS</stp>
        <tr r="C215" s="1"/>
      </tp>
      <tp>
        <v>2.5750000000000002</v>
        <stp/>
        <stp>MARK</stp>
        <stp>SLDP</stp>
        <tr r="C125" s="1"/>
      </tp>
      <tp>
        <v>3.99</v>
        <stp/>
        <stp>MARK</stp>
        <stp>ELDN</stp>
        <tr r="C225" s="1"/>
      </tp>
      <tp>
        <v>0.98460000000000003</v>
        <stp/>
        <stp>MARK</stp>
        <stp>ELPW</stp>
        <tr r="C201" s="1"/>
        <tr r="C73" s="1"/>
      </tp>
      <tp>
        <v>2.7709999999999999</v>
        <stp/>
        <stp>MARK</stp>
        <stp>PLUG</stp>
        <tr r="C104" s="1"/>
      </tp>
      <tp t="s">
        <v>ANDEAN SILVER LIMITE</v>
        <stp/>
        <stp>DESCRIPTION</stp>
        <stp>ADSLF</stp>
        <tr r="B108" s="1"/>
      </tp>
      <tp>
        <v>4.7149999999999999</v>
        <stp/>
        <stp>MARK</stp>
        <stp>ACHR</stp>
        <tr r="C107" s="1"/>
      </tp>
      <tp>
        <v>1.22</v>
        <stp/>
        <stp>MARK</stp>
        <stp>UCAR</stp>
        <tr r="C172" s="1"/>
      </tp>
      <tp>
        <v>0.66900000000000004</v>
        <stp/>
        <stp>MARK</stp>
        <stp>YCBD</stp>
        <tr r="C176" s="1"/>
      </tp>
      <tp>
        <v>5.6550000000000002</v>
        <stp/>
        <stp>MARK</stp>
        <stp>ACDC</stp>
        <tr r="C142" s="1"/>
      </tp>
      <tp>
        <v>1.575</v>
        <stp/>
        <stp>MARK</stp>
        <stp>OCGN</stp>
        <tr r="C147" s="1"/>
      </tp>
      <tp>
        <v>1.56</v>
        <stp/>
        <stp>MARK</stp>
        <stp>ACXP</stp>
        <tr r="C228" s="1"/>
      </tp>
      <tp>
        <v>5.2450000000000001</v>
        <stp/>
        <stp>MARK</stp>
        <stp>ACRS</stp>
        <tr r="C135" s="1"/>
      </tp>
      <tp>
        <v>3.0750000000000002</v>
        <stp/>
        <stp>MARK</stp>
        <stp>GCTS</stp>
        <tr r="C149" s="1"/>
      </tp>
      <tp>
        <v>5.6550000000000002</v>
        <stp/>
        <stp>MARK</stp>
        <stp>JBLU</stp>
        <tr r="C151" s="1"/>
      </tp>
      <tp>
        <v>9.2469999999999999</v>
        <stp/>
        <stp>MARK</stp>
        <stp>MBLY</stp>
        <tr r="C171" s="1"/>
      </tp>
      <tp>
        <v>3.6850000000000001</v>
        <stp/>
        <stp>MARK</stp>
        <stp>BBAI</stp>
        <tr r="C84" s="1"/>
      </tp>
      <tp>
        <v>11.65</v>
        <stp/>
        <stp>MARK</stp>
        <stp>ABSI</stp>
        <tr r="C138" s="1"/>
      </tp>
      <tp>
        <v>8.7949999999999999</v>
        <stp/>
        <stp>MARK</stp>
        <stp>IBRX</stp>
        <tr r="C87" s="1"/>
      </tp>
      <tp>
        <v>0.85</v>
        <stp/>
        <stp>MARK</stp>
        <stp>WBUY</stp>
        <tr r="C204" s="1"/>
      </tp>
      <tp>
        <v>1.17</v>
        <stp/>
        <stp>MARK</stp>
        <stp>ABTS</stp>
        <tr r="C194" s="1"/>
      </tp>
      <tp>
        <v>0.67705000000000004</v>
        <stp/>
        <stp>MARK</stp>
        <stp>ABTC</stp>
        <tr r="C106" s="1"/>
      </tp>
      <tp>
        <v>0.40489999999999998</v>
        <stp/>
        <stp>MARK</stp>
        <stp>GAME</stp>
        <tr r="C80" s="1"/>
      </tp>
      <tp>
        <v>1.665</v>
        <stp/>
        <stp>MARK</stp>
        <stp>PACB</stp>
        <tr r="C226" s="1"/>
      </tp>
      <tp>
        <v>3.165</v>
        <stp/>
        <stp>MARK</stp>
        <stp>LAES</stp>
        <tr r="C83" s="1"/>
      </tp>
      <tp>
        <v>10.742000000000001</v>
        <stp/>
        <stp>MARK</stp>
        <stp>PATH</stp>
        <tr r="C210" s="1"/>
      </tp>
      <tp>
        <v>5.9450000000000003</v>
        <stp/>
        <stp>MARK</stp>
        <stp>SATL</stp>
        <tr r="C86" s="1"/>
      </tp>
      <tp>
        <v>1.325</v>
        <stp/>
        <stp>MARK</stp>
        <stp>BATL</stp>
        <tr r="C121" s="1"/>
      </tp>
      <tp>
        <v>0.88744999999999996</v>
        <stp/>
        <stp>MARK</stp>
        <stp>UAVS</stp>
        <tr r="C96" s="1"/>
      </tp>
      <tp>
        <v>7.8650000000000002</v>
        <stp/>
        <stp>MARK</stp>
        <stp>PAVS</stp>
        <tr r="C216" s="1"/>
      </tp>
      <tp>
        <v>2.92</v>
        <stp/>
        <stp>BID</stp>
        <stp>LNVGF</stp>
        <tr r="G112" s="1"/>
      </tp>
      <tp>
        <v>7.6710000000000003</v>
        <stp/>
        <stp>MARK</stp>
        <stp>AGPU</stp>
        <tr r="C184" s="1"/>
        <tr r="C70" s="1"/>
      </tp>
      <tp>
        <v>3.15</v>
        <stp/>
        <stp>MARK</stp>
        <stp>UGRO</stp>
        <tr r="C117" s="1"/>
      </tp>
      <tp>
        <v>3.1</v>
        <stp/>
        <stp>MARK</stp>
        <stp>EEIQ</stp>
        <tr r="C221" s="1"/>
      </tp>
      <tp>
        <v>1.82</v>
        <stp/>
        <stp>MARK</stp>
        <stp>RENX</stp>
        <tr r="C162" s="1"/>
      </tp>
      <tp>
        <v>1.4850000000000001</v>
        <stp/>
        <stp>MARK</stp>
        <stp>ZENA</stp>
        <tr r="C123" s="1"/>
      </tp>
      <tp>
        <v>5.9749999999999996</v>
        <stp/>
        <stp>MARK</stp>
        <stp>WEAV</stp>
        <tr r="C220" s="1"/>
      </tp>
      <tp>
        <v>1.26</v>
        <stp/>
        <stp>MARK</stp>
        <stp>RECT</stp>
        <tr r="C133" s="1"/>
      </tp>
      <tp>
        <v>5.7450000000000001</v>
        <stp/>
        <stp>MARK</stp>
        <stp>KEEL</stp>
        <tr r="C128" s="1"/>
        <tr r="C173" s="1"/>
      </tp>
      <tp>
        <v>11.26</v>
        <stp/>
        <stp>MARK</stp>
        <stp>REPL</stp>
        <tr r="C122" s="1"/>
        <tr r="C175" s="1"/>
      </tp>
      <tp>
        <v>2.54</v>
        <stp/>
        <stp>MARK</stp>
        <stp>RETO</stp>
        <tr r="C72" s="1"/>
      </tp>
      <tp>
        <v>1.3</v>
        <stp/>
        <stp>BID</stp>
        <stp>ADSLF</stp>
        <tr r="G108" s="1"/>
      </tp>
      <tp t="s">
        <v>-7.00%</v>
        <stp/>
        <stp>MARK_PERCENT_CHANGE</stp>
        <stp>QVCGP</stp>
        <tr r="E191" s="1"/>
      </tp>
      <tp>
        <v>5.77</v>
        <stp/>
        <stp>MARK</stp>
        <stp>TDIC</stp>
        <tr r="C168" s="1"/>
      </tp>
      <tp>
        <v>1.135</v>
        <stp/>
        <stp>MARK</stp>
        <stp>BDMD</stp>
        <tr r="C141" s="1"/>
      </tp>
      <tp>
        <v>4.57</v>
        <stp/>
        <stp>MARK</stp>
        <stp>CDLX</stp>
        <tr r="C146" s="1"/>
      </tp>
      <tp>
        <v>21.5</v>
        <stp/>
        <stp>MARK</stp>
        <stp>JDZG</stp>
        <tr r="C152" s="1"/>
      </tp>
      <tp>
        <v>1.19</v>
        <stp/>
        <stp>BID</stp>
        <stp>PSRHF</stp>
        <tr r="G197" s="1"/>
      </tp>
      <tp>
        <v>3.4</v>
        <stp/>
        <stp>BID</stp>
        <stp>CURLF</stp>
        <tr r="G192" s="1"/>
      </tp>
      <tp t="s">
        <v>loading</v>
        <stp/>
        <stp>CUSTOM2</stp>
        <stp>ROLR</stp>
        <tr r="K114" s="1"/>
      </tp>
      <tp>
        <v>-59.15</v>
        <stp/>
        <stp>CUSTOM3</stp>
        <stp>DOMO</stp>
        <tr r="J227" s="1"/>
      </tp>
      <tp t="s">
        <v>loading</v>
        <stp/>
        <stp>CUSTOM3</stp>
        <stp>ROLR</stp>
        <tr r="J114" s="1"/>
      </tp>
      <tp>
        <v>42.67</v>
        <stp/>
        <stp>CUSTOM2</stp>
        <stp>DOMO</stp>
        <tr r="K227" s="1"/>
      </tp>
      <tp t="s">
        <v>loading</v>
        <stp/>
        <stp>CUSTOM2</stp>
        <stp>EONR</stp>
        <tr r="K111" s="1"/>
      </tp>
      <tp t="s">
        <v>loading</v>
        <stp/>
        <stp>CUSTOM3</stp>
        <stp>EONR</stp>
        <tr r="J111" s="1"/>
      </tp>
      <tp t="s">
        <v>loading</v>
        <stp/>
        <stp>CUSTOM2</stp>
        <stp>JOBY</stp>
        <tr r="K105" s="1"/>
      </tp>
      <tp t="s">
        <v>loading</v>
        <stp/>
        <stp>CUSTOM2</stp>
        <stp>LOBO</stp>
        <tr r="K75" s="1"/>
      </tp>
      <tp t="s">
        <v>loading</v>
        <stp/>
        <stp>CUSTOM3</stp>
        <stp>JOBY</stp>
        <tr r="J105" s="1"/>
      </tp>
      <tp t="s">
        <v>loading</v>
        <stp/>
        <stp>CUSTOM3</stp>
        <stp>LOBO</stp>
        <tr r="J75" s="1"/>
      </tp>
      <tp t="s">
        <v>loading</v>
        <stp/>
        <stp>CUSTOM2</stp>
        <stp>KOPN</stp>
        <tr r="K169" s="1"/>
      </tp>
      <tp t="s">
        <v>loading</v>
        <stp/>
        <stp>CUSTOM3</stp>
        <stp>KOPN</stp>
        <tr r="J169" s="1"/>
      </tp>
      <tp t="s">
        <v>loading</v>
        <stp/>
        <stp>CUSTOM3</stp>
        <stp>EOSE</stp>
        <tr r="J102" s="1"/>
      </tp>
      <tp t="s">
        <v>loading</v>
        <stp/>
        <stp>CUSTOM2</stp>
        <stp>EOSE</stp>
        <tr r="K102" s="1"/>
      </tp>
      <tp t="s">
        <v>loading</v>
        <stp/>
        <stp>CUSTOM3</stp>
        <stp>SOUN</stp>
        <tr r="J99" s="1"/>
      </tp>
      <tp t="s">
        <v>loading</v>
        <stp/>
        <stp>CUSTOM2</stp>
        <stp>SOUN</stp>
        <tr r="K99" s="1"/>
      </tp>
      <tp>
        <v>-56.26</v>
        <stp/>
        <stp>CUSTOM3</stp>
        <stp>NNOX</stp>
        <tr r="J212" s="1"/>
      </tp>
      <tp t="s">
        <v>loading</v>
        <stp/>
        <stp>CUSTOM2</stp>
        <stp>ANNA</stp>
        <tr r="K85" s="1"/>
      </tp>
      <tp>
        <v>82.82</v>
        <stp/>
        <stp>CUSTOM2</stp>
        <stp>NNOX</stp>
        <tr r="K212" s="1"/>
      </tp>
      <tp t="s">
        <v>loading</v>
        <stp/>
        <stp>CUSTOM3</stp>
        <stp>ANNA</stp>
        <tr r="J85" s="1"/>
      </tp>
      <tp t="s">
        <v>loading</v>
        <stp/>
        <stp>CUSTOM3</stp>
        <stp>QNCX</stp>
        <tr r="J154" s="1"/>
      </tp>
      <tp t="s">
        <v>loading</v>
        <stp/>
        <stp>CUSTOM2</stp>
        <stp>QNCX</stp>
        <tr r="K154" s="1"/>
      </tp>
      <tp t="s">
        <v>loading</v>
        <stp/>
        <stp>CUSTOM2</stp>
        <stp>INDI</stp>
        <tr r="K161" s="1"/>
      </tp>
      <tp t="s">
        <v>loading</v>
        <stp/>
        <stp>CUSTOM3</stp>
        <stp>INDI</stp>
        <tr r="J161" s="1"/>
      </tp>
      <tp t="s">
        <v>loading</v>
        <stp/>
        <stp>CUSTOM2</stp>
        <stp>GNPX</stp>
        <tr r="K160" s="1"/>
      </tp>
      <tp t="s">
        <v>loading</v>
        <stp/>
        <stp>CUSTOM3</stp>
        <stp>GNPX</stp>
        <tr r="J160" s="1"/>
      </tp>
      <tp>
        <v>33.68</v>
        <stp/>
        <stp>CUSTOM2</stp>
        <stp>MNTS</stp>
        <tr r="K145" s="1"/>
      </tp>
      <tp t="s">
        <v>loading</v>
        <stp/>
        <stp>CUSTOM2</stp>
        <stp>ZNTL</stp>
        <tr r="K166" s="1"/>
      </tp>
      <tp t="s">
        <v>loading</v>
        <stp/>
        <stp>CUSTOM3</stp>
        <stp>MNTS</stp>
        <tr r="J145" s="1"/>
      </tp>
      <tp t="s">
        <v>loading</v>
        <stp/>
        <stp>CUSTOM3</stp>
        <stp>ZNTL</stp>
        <tr r="J166" s="1"/>
      </tp>
      <tp t="s">
        <v>loading</v>
        <stp/>
        <stp>CUSTOM2</stp>
        <stp>ENVX</stp>
        <tr r="K110" s="1"/>
      </tp>
      <tp t="s">
        <v>loading</v>
        <stp/>
        <stp>CUSTOM2</stp>
        <stp>ENVB</stp>
        <tr r="K177" s="1"/>
      </tp>
      <tp t="s">
        <v>loading</v>
        <stp/>
        <stp>CUSTOM3</stp>
        <stp>ENVX</stp>
        <tr r="J110" s="1"/>
      </tp>
      <tp t="s">
        <v>loading</v>
        <stp/>
        <stp>CUSTOM3</stp>
        <stp>ENVB</stp>
        <tr r="J177" s="1"/>
      </tp>
      <tp>
        <v>35094531</v>
        <stp/>
        <stp>VOLUME</stp>
        <stp>PATH</stp>
        <tr r="F210" s="1"/>
      </tp>
      <tp>
        <v>6227389</v>
        <stp/>
        <stp>VOLUME</stp>
        <stp>SATL</stp>
        <tr r="F86" s="1"/>
      </tp>
      <tp>
        <v>3000782</v>
        <stp/>
        <stp>VOLUME</stp>
        <stp>BATL</stp>
        <tr r="F121" s="1"/>
      </tp>
      <tp>
        <v>616475</v>
        <stp/>
        <stp>VOLUME</stp>
        <stp>UAVS</stp>
        <tr r="F96" s="1"/>
      </tp>
      <tp>
        <v>5937760</v>
        <stp/>
        <stp>VOLUME</stp>
        <stp>PAVS</stp>
        <tr r="F216" s="1"/>
      </tp>
      <tp>
        <v>292089</v>
        <stp/>
        <stp>VOLUME</stp>
        <stp>GAME</stp>
        <tr r="F80" s="1"/>
      </tp>
      <tp>
        <v>13026986</v>
        <stp/>
        <stp>VOLUME</stp>
        <stp>LAES</stp>
        <tr r="F83" s="1"/>
      </tp>
      <tp>
        <v>3489304</v>
        <stp/>
        <stp>VOLUME</stp>
        <stp>PACB</stp>
        <tr r="F226" s="1"/>
      </tp>
      <tp t="s">
        <v>loading</v>
        <stp/>
        <stp>CUSTOM2</stp>
        <stp>CMND</stp>
        <tr r="K77" s="1"/>
      </tp>
      <tp t="s">
        <v>loading</v>
        <stp/>
        <stp>CUSTOM3</stp>
        <stp>CMND</stp>
        <tr r="J77" s="1"/>
      </tp>
      <tp t="s">
        <v>loading</v>
        <stp/>
        <stp>CUSTOM3</stp>
        <stp>NMAX</stp>
        <tr r="J78" s="1"/>
        <tr r="J185" s="1"/>
      </tp>
      <tp t="s">
        <v>loading</v>
        <stp/>
        <stp>CUSTOM2</stp>
        <stp>NMAX</stp>
        <tr r="K78" s="1"/>
        <tr r="K185" s="1"/>
      </tp>
      <tp t="s">
        <v>loading</v>
        <stp/>
        <stp>CUSTOM2</stp>
        <stp>AMBP</stp>
        <tr r="K159" s="1"/>
      </tp>
      <tp t="s">
        <v>loading</v>
        <stp/>
        <stp>CUSTOM3</stp>
        <stp>AMBP</stp>
        <tr r="J159" s="1"/>
      </tp>
      <tp t="s">
        <v>loading</v>
        <stp/>
        <stp>CUSTOM3</stp>
        <stp>PMEC</stp>
        <tr r="J129" s="1"/>
      </tp>
      <tp t="s">
        <v>loading</v>
        <stp/>
        <stp>CUSTOM2</stp>
        <stp>TMDE</stp>
        <tr r="K116" s="1"/>
      </tp>
      <tp t="s">
        <v>loading</v>
        <stp/>
        <stp>CUSTOM2</stp>
        <stp>PMEC</stp>
        <tr r="K129" s="1"/>
      </tp>
      <tp t="s">
        <v>loading</v>
        <stp/>
        <stp>CUSTOM3</stp>
        <stp>TMDE</stp>
        <tr r="J116" s="1"/>
      </tp>
      <tp t="s">
        <v>loading</v>
        <stp/>
        <stp>CUSTOM2</stp>
        <stp>CMPS</stp>
        <tr r="K137" s="1"/>
      </tp>
      <tp t="s">
        <v>loading</v>
        <stp/>
        <stp>CUSTOM3</stp>
        <stp>CMPS</stp>
        <tr r="J137" s="1"/>
      </tp>
      <tp t="s">
        <v>loading</v>
        <stp/>
        <stp>CUSTOM3</stp>
        <stp>IMSR</stp>
        <tr r="J127" s="1"/>
      </tp>
      <tp t="s">
        <v>loading</v>
        <stp/>
        <stp>CUSTOM3</stp>
        <stp>RMSG</stp>
        <tr r="J202" s="1"/>
      </tp>
      <tp t="s">
        <v>loading</v>
        <stp/>
        <stp>CUSTOM2</stp>
        <stp>IMSR</stp>
        <tr r="K127" s="1"/>
      </tp>
      <tp t="s">
        <v>loading</v>
        <stp/>
        <stp>CUSTOM2</stp>
        <stp>RMSG</stp>
        <tr r="K202" s="1"/>
      </tp>
      <tp>
        <v>3335</v>
        <stp/>
        <stp>VOLUME</stp>
        <stp>WBUY</stp>
        <tr r="F204" s="1"/>
      </tp>
      <tp>
        <v>6760697</v>
        <stp/>
        <stp>VOLUME</stp>
        <stp>ABTC</stp>
        <tr r="F106" s="1"/>
      </tp>
      <tp>
        <v>18488</v>
        <stp/>
        <stp>VOLUME</stp>
        <stp>ABTS</stp>
        <tr r="F194" s="1"/>
      </tp>
      <tp>
        <v>2909937</v>
        <stp/>
        <stp>VOLUME</stp>
        <stp>ABSI</stp>
        <tr r="F138" s="1"/>
      </tp>
      <tp>
        <v>5279605</v>
        <stp/>
        <stp>VOLUME</stp>
        <stp>IBRX</stp>
        <tr r="F87" s="1"/>
      </tp>
      <tp>
        <v>21449777</v>
        <stp/>
        <stp>VOLUME</stp>
        <stp>JBLU</stp>
        <tr r="F151" s="1"/>
      </tp>
      <tp>
        <v>5829975</v>
        <stp/>
        <stp>VOLUME</stp>
        <stp>MBLY</stp>
        <tr r="F171" s="1"/>
      </tp>
      <tp>
        <v>21866633</v>
        <stp/>
        <stp>VOLUME</stp>
        <stp>BBAI</stp>
        <tr r="F84" s="1"/>
      </tp>
      <tp t="s">
        <v>loading</v>
        <stp/>
        <stp>CUSTOM3</stp>
        <stp>CLIK</stp>
        <tr r="J193" s="1"/>
      </tp>
      <tp t="s">
        <v>loading</v>
        <stp/>
        <stp>CUSTOM2</stp>
        <stp>CLIK</stp>
        <tr r="K193" s="1"/>
      </tp>
      <tp t="s">
        <v>3,159 M</v>
        <stp/>
        <stp>MARKET_CAP</stp>
        <stp>GPK</stp>
        <tr r="I140" s="1"/>
      </tp>
      <tp>
        <v>46.75</v>
        <stp/>
        <stp>CUSTOM2</stp>
        <stp>GLND</stp>
        <tr r="K156" s="1"/>
      </tp>
      <tp>
        <v>35.549999999999997</v>
        <stp/>
        <stp>CUSTOM2</stp>
        <stp>SLNH</stp>
        <tr r="K148" s="1"/>
        <tr r="K88" s="1"/>
      </tp>
      <tp t="s">
        <v>852 M</v>
        <stp/>
        <stp>MARKET_CAP</stp>
        <stp>GTM</stp>
        <tr r="I209" s="1"/>
      </tp>
      <tp t="s">
        <v>loading</v>
        <stp/>
        <stp>CUSTOM3</stp>
        <stp>GLND</stp>
        <tr r="J156" s="1"/>
      </tp>
      <tp t="s">
        <v>loading</v>
        <stp/>
        <stp>CUSTOM3</stp>
        <stp>SLNH</stp>
        <tr r="J148" s="1"/>
        <tr r="J88" s="1"/>
      </tp>
      <tp t="s">
        <v>loading</v>
        <stp/>
        <stp>CUSTOM3</stp>
        <stp>ELAB</stp>
        <tr r="J119" s="1"/>
      </tp>
      <tp t="s">
        <v>loading</v>
        <stp/>
        <stp>CUSTOM3</stp>
        <stp>SLAI</stp>
        <tr r="J81" s="1"/>
      </tp>
      <tp t="s">
        <v>loading</v>
        <stp/>
        <stp>CUSTOM2</stp>
        <stp>ELAB</stp>
        <tr r="K119" s="1"/>
      </tp>
      <tp t="s">
        <v>loading</v>
        <stp/>
        <stp>CUSTOM2</stp>
        <stp>SLAI</stp>
        <tr r="K81" s="1"/>
      </tp>
      <tp t="s">
        <v>loading</v>
        <stp/>
        <stp>CUSTOM3</stp>
        <stp>ULCC</stp>
        <tr r="J153" s="1"/>
      </tp>
      <tp t="s">
        <v>loading</v>
        <stp/>
        <stp>CUSTOM2</stp>
        <stp>ULCC</stp>
        <tr r="K153" s="1"/>
      </tp>
      <tp t="s">
        <v>loading</v>
        <stp/>
        <stp>CUSTOM2</stp>
        <stp>SLDP</stp>
        <tr r="K125" s="1"/>
      </tp>
      <tp t="s">
        <v>loading</v>
        <stp/>
        <stp>CUSTOM2</stp>
        <stp>WLDS</stp>
        <tr r="K215" s="1"/>
      </tp>
      <tp t="s">
        <v>loading</v>
        <stp/>
        <stp>CUSTOM3</stp>
        <stp>MLEC</stp>
        <tr r="J143" s="1"/>
      </tp>
      <tp t="s">
        <v>loading</v>
        <stp/>
        <stp>CUSTOM2</stp>
        <stp>ELDN</stp>
        <tr r="K225" s="1"/>
      </tp>
      <tp t="s">
        <v>loading</v>
        <stp/>
        <stp>CUSTOM3</stp>
        <stp>SLDP</stp>
        <tr r="J125" s="1"/>
      </tp>
      <tp t="s">
        <v>loading</v>
        <stp/>
        <stp>CUSTOM3</stp>
        <stp>WLDS</stp>
        <tr r="J215" s="1"/>
      </tp>
      <tp t="s">
        <v>loading</v>
        <stp/>
        <stp>CUSTOM2</stp>
        <stp>MLEC</stp>
        <tr r="K143" s="1"/>
      </tp>
      <tp t="s">
        <v>loading</v>
        <stp/>
        <stp>CUSTOM3</stp>
        <stp>ELDN</stp>
        <tr r="J225" s="1"/>
      </tp>
      <tp t="s">
        <v>loading</v>
        <stp/>
        <stp>CUSTOM2</stp>
        <stp>ELPW</stp>
        <tr r="K73" s="1"/>
        <tr r="K201" s="1"/>
      </tp>
      <tp t="s">
        <v>loading</v>
        <stp/>
        <stp>CUSTOM3</stp>
        <stp>ELPW</stp>
        <tr r="J201" s="1"/>
        <tr r="J73" s="1"/>
      </tp>
      <tp t="s">
        <v>loading</v>
        <stp/>
        <stp>CUSTOM3</stp>
        <stp>PLUG</stp>
        <tr r="J104" s="1"/>
      </tp>
      <tp t="s">
        <v>loading</v>
        <stp/>
        <stp>CUSTOM2</stp>
        <stp>PLUG</stp>
        <tr r="K104" s="1"/>
      </tp>
      <tp>
        <v>77584</v>
        <stp/>
        <stp>VOLUME</stp>
        <stp>ACXP</stp>
        <tr r="F228" s="1"/>
      </tp>
      <tp>
        <v>3310778</v>
        <stp/>
        <stp>VOLUME</stp>
        <stp>GCTS</stp>
        <tr r="F149" s="1"/>
      </tp>
      <tp>
        <v>1688244</v>
        <stp/>
        <stp>VOLUME</stp>
        <stp>ACRS</stp>
        <tr r="F135" s="1"/>
      </tp>
      <tp>
        <v>19769516</v>
        <stp/>
        <stp>VOLUME</stp>
        <stp>ACHR</stp>
        <tr r="F107" s="1"/>
      </tp>
      <tp t="s">
        <v>loading</v>
        <stp/>
        <stp>CUSTOM3</stp>
        <stp>TWI</stp>
        <tr r="J136" s="1"/>
      </tp>
      <tp t="s">
        <v>loading</v>
        <stp/>
        <stp>CUSTOM2</stp>
        <stp>TWI</stp>
        <tr r="K136" s="1"/>
      </tp>
      <tp>
        <v>425697</v>
        <stp/>
        <stp>VOLUME</stp>
        <stp>ACDC</stp>
        <tr r="F142" s="1"/>
      </tp>
      <tp>
        <v>6824508</v>
        <stp/>
        <stp>VOLUME</stp>
        <stp>OCGN</stp>
        <tr r="F147" s="1"/>
      </tp>
      <tp>
        <v>80856</v>
        <stp/>
        <stp>VOLUME</stp>
        <stp>UCAR</stp>
        <tr r="F172" s="1"/>
      </tp>
      <tp t="s">
        <v>loading</v>
        <stp/>
        <stp>CUSTOM2</stp>
        <stp>TRX</stp>
        <tr r="K97" s="1"/>
      </tp>
      <tp t="s">
        <v>loading</v>
        <stp/>
        <stp>CUSTOM3</stp>
        <stp>TRX</stp>
        <tr r="J97" s="1"/>
      </tp>
      <tp>
        <v>48804</v>
        <stp/>
        <stp>VOLUME</stp>
        <stp>YCBD</stp>
        <tr r="F176" s="1"/>
      </tp>
      <tp t="s">
        <v>loading</v>
        <stp/>
        <stp>CUSTOM2</stp>
        <stp>SMX</stp>
        <tr r="K118" s="1"/>
      </tp>
      <tp t="s">
        <v>loading</v>
        <stp/>
        <stp>CUSTOM3</stp>
        <stp>SMX</stp>
        <tr r="J118" s="1"/>
      </tp>
      <tp t="s">
        <v>N/A</v>
        <stp/>
        <stp>VOLUME</stp>
        <stp>JDZG</stp>
        <tr r="F152" s="1"/>
      </tp>
      <tp t="s">
        <v>loading</v>
        <stp/>
        <stp>CUSTOM3</stp>
        <stp>SES</stp>
        <tr r="J126" s="1"/>
      </tp>
      <tp t="s">
        <v>loading</v>
        <stp/>
        <stp>CUSTOM2</stp>
        <stp>SES</stp>
        <tr r="K126" s="1"/>
      </tp>
      <tp>
        <v>63972</v>
        <stp/>
        <stp>VOLUME</stp>
        <stp>BDMD</stp>
        <tr r="F141" s="1"/>
      </tp>
      <tp>
        <v>40260</v>
        <stp/>
        <stp>VOLUME</stp>
        <stp>CDLX</stp>
        <tr r="F146" s="1"/>
      </tp>
      <tp>
        <v>51021</v>
        <stp/>
        <stp>VOLUME</stp>
        <stp>TDIC</stp>
        <tr r="F168" s="1"/>
      </tp>
      <tp t="s">
        <v>loading</v>
        <stp/>
        <stp>CUSTOM2</stp>
        <stp>SST</stp>
        <tr r="K178" s="1"/>
      </tp>
      <tp t="s">
        <v>loading</v>
        <stp/>
        <stp>CUSTOM3</stp>
        <stp>SST</stp>
        <tr r="J178" s="1"/>
      </tp>
      <tp t="s">
        <v>loading</v>
        <stp/>
        <stp>CUSTOM2</stp>
        <stp>SPT</stp>
        <tr r="K219" s="1"/>
      </tp>
      <tp t="s">
        <v>loading</v>
        <stp/>
        <stp>CUSTOM3</stp>
        <stp>SPT</stp>
        <tr r="J219" s="1"/>
      </tp>
      <tp t="s">
        <v>loading</v>
        <stp/>
        <stp>CUSTOM3</stp>
        <stp>FJET</stp>
        <tr r="J195" s="1"/>
      </tp>
      <tp>
        <v>29.42</v>
        <stp/>
        <stp>CUSTOM2</stp>
        <stp>FJET</stp>
        <tr r="K195" s="1"/>
      </tp>
      <tp t="s">
        <v>173 M</v>
        <stp/>
        <stp>MARKET_CAP</stp>
        <stp>ACB</stp>
        <tr r="I222" s="1"/>
      </tp>
      <tp t="s">
        <v>611 M</v>
        <stp/>
        <stp>MARKET_CAP</stp>
        <stp>ALT</stp>
        <tr r="I189" s="1"/>
      </tp>
      <tp>
        <v>1145</v>
        <stp/>
        <stp>VOLUME</stp>
        <stp>RETO</stp>
        <tr r="F72" s="1"/>
      </tp>
      <tp t="s">
        <v>loading</v>
        <stp/>
        <stp>CUSTOM3</stp>
        <stp>RES</stp>
        <tr r="J165" s="1"/>
      </tp>
      <tp t="s">
        <v>loading</v>
        <stp/>
        <stp>CUSTOM2</stp>
        <stp>RES</stp>
        <tr r="K165" s="1"/>
      </tp>
      <tp>
        <v>2289022</v>
        <stp/>
        <stp>VOLUME</stp>
        <stp>REPL</stp>
        <tr r="F175" s="1"/>
        <tr r="F122" s="1"/>
      </tp>
      <tp>
        <v>1179670</v>
        <stp/>
        <stp>VOLUME</stp>
        <stp>ZENA</stp>
        <tr r="F123" s="1"/>
      </tp>
      <tp>
        <v>22392</v>
        <stp/>
        <stp>VOLUME</stp>
        <stp>RENX</stp>
        <tr r="F162" s="1"/>
      </tp>
      <tp>
        <v>723824</v>
        <stp/>
        <stp>VOLUME</stp>
        <stp>EEIQ</stp>
        <tr r="F221" s="1"/>
      </tp>
      <tp>
        <v>20703548</v>
        <stp/>
        <stp>VOLUME</stp>
        <stp>KEEL</stp>
        <tr r="F173" s="1"/>
        <tr r="F128" s="1"/>
      </tp>
      <tp>
        <v>454651</v>
        <stp/>
        <stp>VOLUME</stp>
        <stp>WEAV</stp>
        <tr r="F220" s="1"/>
      </tp>
      <tp>
        <v>578</v>
        <stp/>
        <stp>VOLUME</stp>
        <stp>RECT</stp>
        <tr r="F133" s="1"/>
      </tp>
      <tp t="s">
        <v>4,977 M</v>
        <stp/>
        <stp>MARKET_CAP</stp>
        <stp>BTG</stp>
        <tr r="I139" s="1"/>
      </tp>
      <tp t="s">
        <v>loading</v>
        <stp/>
        <stp>CUSTOM3</stp>
        <stp>BIAF</stp>
        <tr r="J229" s="1"/>
      </tp>
      <tp t="s">
        <v>loading</v>
        <stp/>
        <stp>CUSTOM2</stp>
        <stp>BIAF</stp>
        <tr r="K229" s="1"/>
      </tp>
      <tp>
        <v>20.9</v>
        <stp/>
        <stp>CUSTOM2</stp>
        <stp>SIDU</stp>
        <tr r="K223" s="1"/>
        <tr r="K115" s="1"/>
      </tp>
      <tp t="s">
        <v>loading</v>
        <stp/>
        <stp>CUSTOM2</stp>
        <stp>KIDZ</stp>
        <tr r="K74" s="1"/>
      </tp>
      <tp t="s">
        <v>loading</v>
        <stp/>
        <stp>CUSTOM3</stp>
        <stp>SIDU</stp>
        <tr r="J223" s="1"/>
        <tr r="J115" s="1"/>
      </tp>
      <tp t="s">
        <v>loading</v>
        <stp/>
        <stp>CUSTOM3</stp>
        <stp>KIDZ</stp>
        <tr r="J74" s="1"/>
      </tp>
      <tp>
        <v>-90.957599999999999</v>
        <stp/>
        <stp>CUSTOM3</stp>
        <stp>BIYA</stp>
        <tr r="J71" s="1"/>
      </tp>
      <tp t="s">
        <v>loading</v>
        <stp/>
        <stp>CUSTOM2</stp>
        <stp>AIXI</stp>
        <tr r="K130" s="1"/>
        <tr r="K179" s="1"/>
      </tp>
      <tp>
        <v>54.283000000000001</v>
        <stp/>
        <stp>CUSTOM2</stp>
        <stp>BIYA</stp>
        <tr r="K71" s="1"/>
      </tp>
      <tp t="s">
        <v>loading</v>
        <stp/>
        <stp>CUSTOM3</stp>
        <stp>AIXI</stp>
        <tr r="J130" s="1"/>
        <tr r="J179" s="1"/>
      </tp>
      <tp t="s">
        <v>loading</v>
        <stp/>
        <stp>CUSTOM2</stp>
        <stp>HIVE</stp>
        <tr r="K98" s="1"/>
      </tp>
      <tp t="s">
        <v>loading</v>
        <stp/>
        <stp>CUSTOM3</stp>
        <stp>HIVE</stp>
        <tr r="J98" s="1"/>
      </tp>
      <tp t="s">
        <v>loading</v>
        <stp/>
        <stp>CUSTOM2</stp>
        <stp>SHLS</stp>
        <tr r="K155" s="1"/>
      </tp>
      <tp t="s">
        <v>loading</v>
        <stp/>
        <stp>CUSTOM3</stp>
        <stp>SHLS</stp>
        <tr r="J155" s="1"/>
      </tp>
      <tp t="s">
        <v>1,197 M</v>
        <stp/>
        <stp>MARKET_CAP</stp>
        <stp>CXM</stp>
        <tr r="I206" s="1"/>
      </tp>
      <tp t="s">
        <v>475 M</v>
        <stp/>
        <stp>MARKET_CAP</stp>
        <stp>CYH</stp>
        <tr r="I109" s="1"/>
      </tp>
      <tp t="s">
        <v>loading</v>
        <stp/>
        <stp>CUSTOM2</stp>
        <stp>PCT</stp>
        <tr r="K167" s="1"/>
      </tp>
      <tp t="s">
        <v>loading</v>
        <stp/>
        <stp>CUSTOM3</stp>
        <stp>PCT</stp>
        <tr r="J167" s="1"/>
      </tp>
      <tp t="s">
        <v>loading</v>
        <stp/>
        <stp>CUSTOM3</stp>
        <stp>PBM</stp>
        <tr r="J79" s="1"/>
        <tr r="J213" s="1"/>
      </tp>
      <tp t="s">
        <v>loading</v>
        <stp/>
        <stp>CUSTOM2</stp>
        <stp>PBM</stp>
        <tr r="K79" s="1"/>
        <tr r="K213" s="1"/>
      </tp>
      <tp>
        <v>42405</v>
        <stp/>
        <stp>VOLUME</stp>
        <stp>AGPU</stp>
        <tr r="F70" s="1"/>
        <tr r="F184" s="1"/>
      </tp>
      <tp t="s">
        <v>N/A</v>
        <stp/>
        <stp>VOLUME</stp>
        <stp>UGRO</stp>
        <tr r="F117" s="1"/>
      </tp>
      <tp t="s">
        <v>3,845 M</v>
        <stp/>
        <stp>MARKET_CAP</stp>
        <stp>LPL</stp>
        <tr r="I186" s="1"/>
      </tp>
      <tp t="s">
        <v>1,355 M</v>
        <stp/>
        <stp>MARKET_CAP</stp>
        <stp>LAC</stp>
        <tr r="I90" s="1"/>
      </tp>
      <tp t="s">
        <v>loading</v>
        <stp/>
        <stp>CUSTOM2</stp>
        <stp>AGPU</stp>
        <tr r="K184" s="1"/>
        <tr r="K70" s="1"/>
      </tp>
      <tp t="s">
        <v>loading</v>
        <stp/>
        <stp>CUSTOM3</stp>
        <stp>AGPU</stp>
        <tr r="J184" s="1"/>
        <tr r="J70" s="1"/>
      </tp>
      <tp t="s">
        <v>loading</v>
        <stp/>
        <stp>CUSTOM2</stp>
        <stp>UGRO</stp>
        <tr r="K117" s="1"/>
      </tp>
      <tp t="s">
        <v>loading</v>
        <stp/>
        <stp>CUSTOM3</stp>
        <stp>UGRO</stp>
        <tr r="J117" s="1"/>
      </tp>
      <tp>
        <v>2464124</v>
        <stp/>
        <stp>VOLUME</stp>
        <stp>SHLS</stp>
        <tr r="F155" s="1"/>
      </tp>
      <tp>
        <v>337940222</v>
        <stp/>
        <stp>VOLUME</stp>
        <stp>BIYA</stp>
        <tr r="F71" s="1"/>
      </tp>
      <tp>
        <v>105999</v>
        <stp/>
        <stp>VOLUME</stp>
        <stp>AIXI</stp>
        <tr r="F130" s="1"/>
        <tr r="F179" s="1"/>
      </tp>
      <tp>
        <v>11113519</v>
        <stp/>
        <stp>VOLUME</stp>
        <stp>HIVE</stp>
        <tr r="F98" s="1"/>
      </tp>
      <tp>
        <v>5396757</v>
        <stp/>
        <stp>VOLUME</stp>
        <stp>SIDU</stp>
        <tr r="F223" s="1"/>
        <tr r="F115" s="1"/>
      </tp>
      <tp>
        <v>86584</v>
        <stp/>
        <stp>VOLUME</stp>
        <stp>KIDZ</stp>
        <tr r="F74" s="1"/>
      </tp>
      <tp>
        <v>129917</v>
        <stp/>
        <stp>VOLUME</stp>
        <stp>BIAF</stp>
        <tr r="F229" s="1"/>
      </tp>
      <tp t="s">
        <v>loading</v>
        <stp/>
        <stp>CUSTOM3</stp>
        <stp>EEIQ</stp>
        <tr r="J221" s="1"/>
      </tp>
      <tp t="s">
        <v>loading</v>
        <stp/>
        <stp>CUSTOM2</stp>
        <stp>EEIQ</stp>
        <tr r="K221" s="1"/>
      </tp>
      <tp t="s">
        <v>51 M</v>
        <stp/>
        <stp>MARKET_CAP</stp>
        <stp>NPT</stp>
        <tr r="I183" s="1"/>
      </tp>
      <tp t="s">
        <v>loading</v>
        <stp/>
        <stp>CUSTOM2</stp>
        <stp>RENX</stp>
        <tr r="K162" s="1"/>
      </tp>
      <tp>
        <v>33.75</v>
        <stp/>
        <stp>CUSTOM2</stp>
        <stp>ZENA</stp>
        <tr r="K123" s="1"/>
      </tp>
      <tp t="s">
        <v>loading</v>
        <stp/>
        <stp>CUSTOM3</stp>
        <stp>RENX</stp>
        <tr r="J162" s="1"/>
      </tp>
      <tp t="s">
        <v>loading</v>
        <stp/>
        <stp>CUSTOM3</stp>
        <stp>ZENA</stp>
        <tr r="J123" s="1"/>
      </tp>
      <tp t="s">
        <v>loading</v>
        <stp/>
        <stp>CUSTOM3</stp>
        <stp>WEAV</stp>
        <tr r="J220" s="1"/>
      </tp>
      <tp t="s">
        <v>loading</v>
        <stp/>
        <stp>CUSTOM2</stp>
        <stp>WEAV</stp>
        <tr r="K220" s="1"/>
      </tp>
      <tp t="s">
        <v>loading</v>
        <stp/>
        <stp>CUSTOM3</stp>
        <stp>RECT</stp>
        <tr r="J133" s="1"/>
      </tp>
      <tp t="s">
        <v>loading</v>
        <stp/>
        <stp>CUSTOM2</stp>
        <stp>RECT</stp>
        <tr r="K133" s="1"/>
      </tp>
      <tp t="s">
        <v>loading</v>
        <stp/>
        <stp>CUSTOM3</stp>
        <stp>KEEL</stp>
        <tr r="J173" s="1"/>
        <tr r="J128" s="1"/>
      </tp>
      <tp t="s">
        <v>loading</v>
        <stp/>
        <stp>CUSTOM2</stp>
        <stp>KEEL</stp>
        <tr r="K128" s="1"/>
        <tr r="K173" s="1"/>
      </tp>
      <tp t="s">
        <v>loading</v>
        <stp/>
        <stp>CUSTOM2</stp>
        <stp>REPL</stp>
        <tr r="K122" s="1"/>
        <tr r="K175" s="1"/>
      </tp>
      <tp t="s">
        <v>loading</v>
        <stp/>
        <stp>CUSTOM3</stp>
        <stp>REPL</stp>
        <tr r="J175" s="1"/>
        <tr r="J122" s="1"/>
      </tp>
      <tp t="s">
        <v>loading</v>
        <stp/>
        <stp>CUSTOM2</stp>
        <stp>RETO</stp>
        <tr r="K72" s="1"/>
      </tp>
      <tp t="s">
        <v>loading</v>
        <stp/>
        <stp>CUSTOM3</stp>
        <stp>RETO</stp>
        <tr r="J72" s="1"/>
      </tp>
      <tp>
        <v>1118457</v>
        <stp/>
        <stp>VOLUME</stp>
        <stp>FJET</stp>
        <tr r="F195" s="1"/>
      </tp>
      <tp t="s">
        <v>loading</v>
        <stp/>
        <stp>CUSTOM3</stp>
        <stp>TDIC</stp>
        <tr r="J168" s="1"/>
      </tp>
      <tp t="s">
        <v>loading</v>
        <stp/>
        <stp>CUSTOM2</stp>
        <stp>TDIC</stp>
        <tr r="K168" s="1"/>
      </tp>
      <tp t="s">
        <v>loading</v>
        <stp/>
        <stp>CUSTOM2</stp>
        <stp>CDLX</stp>
        <tr r="K146" s="1"/>
      </tp>
      <tp t="s">
        <v>loading</v>
        <stp/>
        <stp>CUSTOM3</stp>
        <stp>BDMD</stp>
        <tr r="J141" s="1"/>
      </tp>
      <tp t="s">
        <v>loading</v>
        <stp/>
        <stp>CUSTOM3</stp>
        <stp>CDLX</stp>
        <tr r="J146" s="1"/>
      </tp>
      <tp t="s">
        <v>loading</v>
        <stp/>
        <stp>CUSTOM2</stp>
        <stp>BDMD</stp>
        <tr r="K141" s="1"/>
      </tp>
      <tp t="s">
        <v>loading</v>
        <stp/>
        <stp>CUSTOM2</stp>
        <stp>JDZG</stp>
        <tr r="K152" s="1"/>
      </tp>
      <tp t="s">
        <v>loading</v>
        <stp/>
        <stp>CUSTOM3</stp>
        <stp>JDZG</stp>
        <tr r="J152" s="1"/>
      </tp>
      <tp>
        <v>6095</v>
        <stp/>
        <stp>VOLUME</stp>
        <stp>LNVGF</stp>
        <tr r="F112" s="1"/>
      </tp>
      <tp t="s">
        <v>loading</v>
        <stp/>
        <stp>CUSTOM2</stp>
        <stp>ACHR</stp>
        <tr r="K107" s="1"/>
      </tp>
      <tp t="s">
        <v>loading</v>
        <stp/>
        <stp>CUSTOM3</stp>
        <stp>ACHR</stp>
        <tr r="J107" s="1"/>
      </tp>
      <tp t="s">
        <v>684 M</v>
        <stp/>
        <stp>MARKET_CAP</stp>
        <stp>HTZ</stp>
        <tr r="I230" s="1"/>
      </tp>
      <tp t="s">
        <v>loading</v>
        <stp/>
        <stp>CUSTOM3</stp>
        <stp>UCAR</stp>
        <tr r="J172" s="1"/>
      </tp>
      <tp t="s">
        <v>loading</v>
        <stp/>
        <stp>CUSTOM2</stp>
        <stp>UCAR</stp>
        <tr r="K172" s="1"/>
      </tp>
      <tp t="s">
        <v>loading</v>
        <stp/>
        <stp>CUSTOM2</stp>
        <stp>YCBD</stp>
        <tr r="K176" s="1"/>
      </tp>
      <tp t="s">
        <v>loading</v>
        <stp/>
        <stp>CUSTOM3</stp>
        <stp>YCBD</stp>
        <tr r="J176" s="1"/>
      </tp>
      <tp t="s">
        <v>loading</v>
        <stp/>
        <stp>CUSTOM2</stp>
        <stp>ACDC</stp>
        <tr r="K142" s="1"/>
      </tp>
      <tp t="s">
        <v>loading</v>
        <stp/>
        <stp>CUSTOM3</stp>
        <stp>ACDC</stp>
        <tr r="J142" s="1"/>
      </tp>
      <tp t="s">
        <v>loading</v>
        <stp/>
        <stp>CUSTOM3</stp>
        <stp>OCGN</stp>
        <tr r="J147" s="1"/>
      </tp>
      <tp t="s">
        <v>loading</v>
        <stp/>
        <stp>CUSTOM2</stp>
        <stp>OCGN</stp>
        <tr r="K147" s="1"/>
      </tp>
      <tp t="s">
        <v>loading</v>
        <stp/>
        <stp>CUSTOM2</stp>
        <stp>ACXP</stp>
        <tr r="K228" s="1"/>
      </tp>
      <tp t="s">
        <v>loading</v>
        <stp/>
        <stp>CUSTOM3</stp>
        <stp>ACXP</stp>
        <tr r="J228" s="1"/>
      </tp>
      <tp t="s">
        <v>loading</v>
        <stp/>
        <stp>CUSTOM2</stp>
        <stp>ACRS</stp>
        <tr r="K135" s="1"/>
      </tp>
      <tp t="s">
        <v>loading</v>
        <stp/>
        <stp>CUSTOM3</stp>
        <stp>ACRS</stp>
        <tr r="J135" s="1"/>
      </tp>
      <tp>
        <v>78.92</v>
        <stp/>
        <stp>CUSTOM2</stp>
        <stp>GCTS</stp>
        <tr r="K149" s="1"/>
      </tp>
      <tp>
        <v>96.77</v>
        <stp/>
        <stp>CUSTOM3</stp>
        <stp>GCTS</stp>
        <tr r="J149" s="1"/>
      </tp>
      <tp t="s">
        <v>1,298 M</v>
        <stp/>
        <stp>MARKET_CAP</stp>
        <stp>HLX</stp>
        <tr r="I150" s="1"/>
      </tp>
      <tp>
        <v>35346098</v>
        <stp/>
        <stp>VOLUME</stp>
        <stp>PLUG</stp>
        <tr r="F104" s="1"/>
      </tp>
      <tp>
        <v>303408</v>
        <stp/>
        <stp>VOLUME</stp>
        <stp>ELPW</stp>
        <tr r="F201" s="1"/>
        <tr r="F73" s="1"/>
      </tp>
      <tp>
        <v>1309532</v>
        <stp/>
        <stp>VOLUME</stp>
        <stp>GLND</stp>
        <tr r="F156" s="1"/>
      </tp>
      <tp>
        <v>6286152</v>
        <stp/>
        <stp>VOLUME</stp>
        <stp>SLNH</stp>
        <tr r="F148" s="1"/>
        <tr r="F88" s="1"/>
      </tp>
      <tp>
        <v>39237</v>
        <stp/>
        <stp>VOLUME</stp>
        <stp>CLIK</stp>
        <tr r="F193" s="1"/>
      </tp>
      <tp>
        <v>6864</v>
        <stp/>
        <stp>VOLUME</stp>
        <stp>MLEC</stp>
        <tr r="F143" s="1"/>
      </tp>
      <tp>
        <v>679189</v>
        <stp/>
        <stp>VOLUME</stp>
        <stp>ELDN</stp>
        <tr r="F225" s="1"/>
      </tp>
      <tp>
        <v>1853114</v>
        <stp/>
        <stp>VOLUME</stp>
        <stp>SLDP</stp>
        <tr r="F125" s="1"/>
      </tp>
      <tp>
        <v>22313</v>
        <stp/>
        <stp>VOLUME</stp>
        <stp>WLDS</stp>
        <tr r="F215" s="1"/>
      </tp>
      <tp>
        <v>84873</v>
        <stp/>
        <stp>VOLUME</stp>
        <stp>ELAB</stp>
        <tr r="F119" s="1"/>
      </tp>
      <tp>
        <v>120988</v>
        <stp/>
        <stp>VOLUME</stp>
        <stp>SLAI</stp>
        <tr r="F81" s="1"/>
      </tp>
      <tp>
        <v>1567876</v>
        <stp/>
        <stp>VOLUME</stp>
        <stp>ULCC</stp>
        <tr r="F153" s="1"/>
      </tp>
      <tp t="s">
        <v>1.4 M</v>
        <stp/>
        <stp>MARKET_CAP</stp>
        <stp>IPW</stp>
        <tr r="I198" s="1"/>
      </tp>
      <tp t="s">
        <v>loading</v>
        <stp/>
        <stp>CUSTOM2</stp>
        <stp>JBLU</stp>
        <tr r="K151" s="1"/>
      </tp>
      <tp t="s">
        <v>loading</v>
        <stp/>
        <stp>CUSTOM2</stp>
        <stp>MBLY</stp>
        <tr r="K171" s="1"/>
      </tp>
      <tp t="s">
        <v>loading</v>
        <stp/>
        <stp>CUSTOM3</stp>
        <stp>JBLU</stp>
        <tr r="J151" s="1"/>
      </tp>
      <tp t="s">
        <v>loading</v>
        <stp/>
        <stp>CUSTOM3</stp>
        <stp>MBLY</stp>
        <tr r="J171" s="1"/>
      </tp>
      <tp t="s">
        <v>loading</v>
        <stp/>
        <stp>CUSTOM3</stp>
        <stp>BBAI</stp>
        <tr r="J84" s="1"/>
      </tp>
      <tp t="s">
        <v>loading</v>
        <stp/>
        <stp>CUSTOM2</stp>
        <stp>BBAI</stp>
        <tr r="K84" s="1"/>
      </tp>
      <tp t="s">
        <v>264 M</v>
        <stp/>
        <stp>MARKET_CAP</stp>
        <stp>IKT</stp>
        <tr r="I144" s="1"/>
      </tp>
      <tp t="s">
        <v>loading</v>
        <stp/>
        <stp>CUSTOM2</stp>
        <stp>IBRX</stp>
        <tr r="K87" s="1"/>
      </tp>
      <tp t="s">
        <v>loading</v>
        <stp/>
        <stp>CUSTOM3</stp>
        <stp>ABSI</stp>
        <tr r="J138" s="1"/>
      </tp>
      <tp t="s">
        <v>loading</v>
        <stp/>
        <stp>CUSTOM3</stp>
        <stp>IBRX</stp>
        <tr r="J87" s="1"/>
      </tp>
      <tp>
        <v>63.17</v>
        <stp/>
        <stp>CUSTOM2</stp>
        <stp>ABSI</stp>
        <tr r="K138" s="1"/>
      </tp>
      <tp t="s">
        <v>loading</v>
        <stp/>
        <stp>CUSTOM2</stp>
        <stp>ABTS</stp>
        <tr r="K194" s="1"/>
      </tp>
      <tp t="s">
        <v>422 M</v>
        <stp/>
        <stp>MARKET_CAP</stp>
        <stp>INV</stp>
        <tr r="I163" s="1"/>
      </tp>
      <tp t="s">
        <v>loading</v>
        <stp/>
        <stp>CUSTOM3</stp>
        <stp>WBUY</stp>
        <tr r="J204" s="1"/>
      </tp>
      <tp t="s">
        <v>loading</v>
        <stp/>
        <stp>CUSTOM2</stp>
        <stp>ABTC</stp>
        <tr r="K106" s="1"/>
      </tp>
      <tp t="s">
        <v>loading</v>
        <stp/>
        <stp>CUSTOM3</stp>
        <stp>ABTS</stp>
        <tr r="J194" s="1"/>
      </tp>
      <tp t="s">
        <v>loading</v>
        <stp/>
        <stp>CUSTOM2</stp>
        <stp>WBUY</stp>
        <tr r="K204" s="1"/>
      </tp>
      <tp t="s">
        <v>loading</v>
        <stp/>
        <stp>CUSTOM3</stp>
        <stp>ABTC</stp>
        <tr r="J106" s="1"/>
      </tp>
      <tp>
        <v>2006992</v>
        <stp/>
        <stp>VOLUME</stp>
        <stp>CMPS</stp>
        <tr r="F137" s="1"/>
      </tp>
      <tp>
        <v>187786</v>
        <stp/>
        <stp>VOLUME</stp>
        <stp>RMSG</stp>
        <tr r="F202" s="1"/>
      </tp>
      <tp>
        <v>621844</v>
        <stp/>
        <stp>VOLUME</stp>
        <stp>IMSR</stp>
        <tr r="F127" s="1"/>
      </tp>
      <tp>
        <v>65049</v>
        <stp/>
        <stp>VOLUME</stp>
        <stp>CMND</stp>
        <tr r="F77" s="1"/>
      </tp>
      <tp>
        <v>46027</v>
        <stp/>
        <stp>VOLUME</stp>
        <stp>PMEC</stp>
        <tr r="F129" s="1"/>
      </tp>
      <tp>
        <v>155802</v>
        <stp/>
        <stp>VOLUME</stp>
        <stp>TMDE</stp>
        <tr r="F116" s="1"/>
      </tp>
      <tp>
        <v>763023</v>
        <stp/>
        <stp>VOLUME</stp>
        <stp>NMAX</stp>
        <tr r="F185" s="1"/>
        <tr r="F78" s="1"/>
      </tp>
      <tp>
        <v>1802401</v>
        <stp/>
        <stp>VOLUME</stp>
        <stp>AMBP</stp>
        <tr r="F159" s="1"/>
      </tp>
      <tp t="s">
        <v>loading</v>
        <stp/>
        <stp>CUSTOM3</stp>
        <stp>GAME</stp>
        <tr r="J80" s="1"/>
      </tp>
      <tp t="s">
        <v>loading</v>
        <stp/>
        <stp>CUSTOM2</stp>
        <stp>GAME</stp>
        <tr r="K80" s="1"/>
      </tp>
      <tp t="s">
        <v>loading</v>
        <stp/>
        <stp>CUSTOM3</stp>
        <stp>PACB</stp>
        <tr r="J226" s="1"/>
      </tp>
      <tp t="s">
        <v>loading</v>
        <stp/>
        <stp>CUSTOM2</stp>
        <stp>PACB</stp>
        <tr r="K226" s="1"/>
      </tp>
      <tp t="s">
        <v>loading</v>
        <stp/>
        <stp>CUSTOM3</stp>
        <stp>LAES</stp>
        <tr r="J83" s="1"/>
      </tp>
      <tp t="s">
        <v>loading</v>
        <stp/>
        <stp>CUSTOM2</stp>
        <stp>LAES</stp>
        <tr r="K83" s="1"/>
      </tp>
      <tp t="s">
        <v>5.8 M</v>
        <stp/>
        <stp>MARKET_CAP</stp>
        <stp>JEM</stp>
        <tr r="I199" s="1"/>
      </tp>
      <tp t="s">
        <v>loading</v>
        <stp/>
        <stp>CUSTOM2</stp>
        <stp>PATH</stp>
        <tr r="K210" s="1"/>
      </tp>
      <tp t="s">
        <v>loading</v>
        <stp/>
        <stp>CUSTOM2</stp>
        <stp>SATL</stp>
        <tr r="K86" s="1"/>
      </tp>
      <tp>
        <v>32.74</v>
        <stp/>
        <stp>CUSTOM2</stp>
        <stp>BATL</stp>
        <tr r="K121" s="1"/>
      </tp>
      <tp t="s">
        <v>loading</v>
        <stp/>
        <stp>CUSTOM3</stp>
        <stp>PATH</stp>
        <tr r="J210" s="1"/>
      </tp>
      <tp t="s">
        <v>loading</v>
        <stp/>
        <stp>CUSTOM3</stp>
        <stp>SATL</stp>
        <tr r="J86" s="1"/>
      </tp>
      <tp t="s">
        <v>loading</v>
        <stp/>
        <stp>CUSTOM3</stp>
        <stp>BATL</stp>
        <tr r="J121" s="1"/>
      </tp>
      <tp t="s">
        <v>loading</v>
        <stp/>
        <stp>CUSTOM2</stp>
        <stp>UAVS</stp>
        <tr r="K96" s="1"/>
      </tp>
      <tp>
        <v>40.61</v>
        <stp/>
        <stp>CUSTOM2</stp>
        <stp>PAVS</stp>
        <tr r="K216" s="1"/>
      </tp>
      <tp t="s">
        <v>loading</v>
        <stp/>
        <stp>CUSTOM3</stp>
        <stp>UAVS</stp>
        <tr r="J96" s="1"/>
      </tp>
      <tp>
        <v>-100</v>
        <stp/>
        <stp>CUSTOM3</stp>
        <stp>PAVS</stp>
        <tr r="J216" s="1"/>
      </tp>
      <tp>
        <v>25040</v>
        <stp/>
        <stp>VOLUME</stp>
        <stp>ADSLF</stp>
        <tr r="F108" s="1"/>
      </tp>
      <tp>
        <v>889532</v>
        <stp/>
        <stp>VOLUME</stp>
        <stp>ZNTL</stp>
        <tr r="F166" s="1"/>
      </tp>
      <tp>
        <v>2291542</v>
        <stp/>
        <stp>VOLUME</stp>
        <stp>MNTS</stp>
        <tr r="F145" s="1"/>
      </tp>
      <tp>
        <v>56709</v>
        <stp/>
        <stp>VOLUME</stp>
        <stp>ENVB</stp>
        <tr r="F177" s="1"/>
      </tp>
      <tp>
        <v>2261858</v>
        <stp/>
        <stp>VOLUME</stp>
        <stp>ENVX</stp>
        <tr r="F110" s="1"/>
      </tp>
      <tp>
        <v>85071</v>
        <stp/>
        <stp>VOLUME</stp>
        <stp>GNPX</stp>
        <tr r="F160" s="1"/>
      </tp>
      <tp>
        <v>1872708</v>
        <stp/>
        <stp>VOLUME</stp>
        <stp>NNOX</stp>
        <tr r="F212" s="1"/>
      </tp>
      <tp>
        <v>89059</v>
        <stp/>
        <stp>VOLUME</stp>
        <stp>ANNA</stp>
        <tr r="F85" s="1"/>
      </tp>
      <tp>
        <v>8051212</v>
        <stp/>
        <stp>VOLUME</stp>
        <stp>INDI</stp>
        <tr r="F161" s="1"/>
      </tp>
      <tp>
        <v>78799</v>
        <stp/>
        <stp>VOLUME</stp>
        <stp>QNCX</stp>
        <tr r="F154" s="1"/>
      </tp>
      <tp>
        <v>540755</v>
        <stp/>
        <stp>VOLUME</stp>
        <stp>PSRHF</stp>
        <tr r="F197" s="1"/>
      </tp>
      <tp t="s">
        <v>N/A</v>
        <stp/>
        <stp>VOLUME</stp>
        <stp>CURLF</stp>
        <tr r="F192" s="1"/>
      </tp>
      <tp>
        <v>9364859</v>
        <stp/>
        <stp>VOLUME</stp>
        <stp>SOUN</stp>
        <tr r="F99" s="1"/>
      </tp>
      <tp>
        <v>2788952</v>
        <stp/>
        <stp>VOLUME</stp>
        <stp>KOPN</stp>
        <tr r="F169" s="1"/>
      </tp>
      <tp>
        <v>17637740</v>
        <stp/>
        <stp>VOLUME</stp>
        <stp>EOSE</stp>
        <tr r="F102" s="1"/>
      </tp>
      <tp>
        <v>1106051</v>
        <stp/>
        <stp>VOLUME</stp>
        <stp>DOMO</stp>
        <tr r="F227" s="1"/>
      </tp>
      <tp>
        <v>50177</v>
        <stp/>
        <stp>VOLUME</stp>
        <stp>ROLR</stp>
        <tr r="F114" s="1"/>
      </tp>
      <tp>
        <v>228295</v>
        <stp/>
        <stp>VOLUME</stp>
        <stp>EONR</stp>
        <tr r="F111" s="1"/>
      </tp>
      <tp>
        <v>70667</v>
        <stp/>
        <stp>VOLUME</stp>
        <stp>LOBO</stp>
        <tr r="F75" s="1"/>
      </tp>
      <tp>
        <v>33157373</v>
        <stp/>
        <stp>VOLUME</stp>
        <stp>JOBY</stp>
        <tr r="F105" s="1"/>
      </tp>
      <tp t="s">
        <v>274 M</v>
        <stp/>
        <stp>MARKET_CAP</stp>
        <stp>TRX</stp>
        <tr r="I97" s="1"/>
      </tp>
      <tp t="s">
        <v>507 M</v>
        <stp/>
        <stp>MARKET_CAP</stp>
        <stp>TWI</stp>
        <tr r="I136" s="1"/>
      </tp>
      <tp>
        <v>34989</v>
        <stp/>
        <stp>VOLUME</stp>
        <stp>IPST</stp>
        <tr r="F182" s="1"/>
      </tp>
      <tp>
        <v>24283</v>
        <stp/>
        <stp>VOLUME</stp>
        <stp>CPIX</stp>
        <tr r="F180" s="1"/>
      </tp>
      <tp>
        <v>45875155</v>
        <stp/>
        <stp>VOLUME</stp>
        <stp>OPEN</stp>
        <tr r="F101" s="1"/>
      </tp>
      <tp>
        <v>14505</v>
        <stp/>
        <stp>VOLUME</stp>
        <stp>RPGL</stp>
        <tr r="F76" s="1"/>
      </tp>
      <tp t="s">
        <v>loading</v>
        <stp/>
        <stp>CUSTOM3</stp>
        <stp>GTM</stp>
        <tr r="J209" s="1"/>
      </tp>
      <tp t="s">
        <v>loading</v>
        <stp/>
        <stp>CUSTOM2</stp>
        <stp>GTM</stp>
        <tr r="K209" s="1"/>
      </tp>
      <tp t="s">
        <v>loading</v>
        <stp/>
        <stp>CUSTOM3</stp>
        <stp>GPK</stp>
        <tr r="J140" s="1"/>
      </tp>
      <tp t="s">
        <v>loading</v>
        <stp/>
        <stp>CUSTOM2</stp>
        <stp>GPK</stp>
        <tr r="K140" s="1"/>
      </tp>
      <tp>
        <v>163229</v>
        <stp/>
        <stp>VOLUME</stp>
        <stp>PRZO</stp>
        <tr r="F124" s="1"/>
      </tp>
      <tp>
        <v>19099223</v>
        <stp/>
        <stp>VOLUME</stp>
        <stp>FRSH</stp>
        <tr r="F203" s="1"/>
      </tp>
      <tp>
        <v>6871585</v>
        <stp/>
        <stp>VOLUME</stp>
        <stp>FRMI</stp>
        <tr r="F158" s="1"/>
      </tp>
      <tp>
        <v>657696</v>
        <stp/>
        <stp>VOLUME</stp>
        <stp>TRON</stp>
        <tr r="F208" s="1"/>
      </tp>
      <tp t="s">
        <v>N/A</v>
        <stp/>
        <stp>VOLUME</stp>
        <stp>VRNO</stp>
        <tr r="F205" s="1"/>
      </tp>
      <tp>
        <v>139818</v>
        <stp/>
        <stp>VOLUME</stp>
        <stp>LRHC</stp>
        <tr r="F187" s="1"/>
      </tp>
      <tp>
        <v>390098</v>
        <stp/>
        <stp>VOLUME</stp>
        <stp>KREF</stp>
        <tr r="F188" s="1"/>
      </tp>
      <tp>
        <v>35480976</v>
        <stp/>
        <stp>VOLUME</stp>
        <stp>SRFM</stp>
        <tr r="F95" s="1"/>
        <tr r="F232" s="1"/>
      </tp>
      <tp>
        <v>6428889</v>
        <stp/>
        <stp>VOLUME</stp>
        <stp>ORBS</stp>
        <tr r="F92" s="1"/>
      </tp>
      <tp>
        <v>41105</v>
        <stp/>
        <stp>VOLUME</stp>
        <stp>GSUN</stp>
        <tr r="F82" s="1"/>
      </tp>
      <tp>
        <v>466821</v>
        <stp/>
        <stp>VOLUME</stp>
        <stp>ASTI</stp>
        <tr r="F174" s="1"/>
        <tr r="F131" s="1"/>
      </tp>
      <tp>
        <v>110590</v>
        <stp/>
        <stp>VOLUME</stp>
        <stp>ZSPC</stp>
        <tr r="F69" s="1"/>
      </tp>
      <tp>
        <v>1010589</v>
        <stp/>
        <stp>VOLUME</stp>
        <stp>GSIT</stp>
        <tr r="F217" s="1"/>
      </tp>
      <tp>
        <v>2172764</v>
        <stp/>
        <stp>VOLUME</stp>
        <stp>ASAN</stp>
        <tr r="F196" s="1"/>
      </tp>
      <tp>
        <v>9.5500000000000007</v>
        <stp/>
        <stp>MARK</stp>
        <stp>TE</stp>
        <tr r="C94" s="1"/>
      </tp>
      <tp>
        <v>2.0350000000000001</v>
        <stp/>
        <stp>MARK</stp>
        <stp>RR</stp>
        <tr r="C103" s="1"/>
      </tp>
      <tp>
        <v>9.51</v>
        <stp/>
        <stp>MARK</stp>
        <stp>PD</stp>
        <tr r="C231" s="1"/>
      </tp>
      <tp>
        <v>7.5750000000000002</v>
        <stp/>
        <stp>MARK</stp>
        <stp>QS</stp>
        <tr r="C132" s="1"/>
        <tr r="C170" s="1"/>
      </tp>
      <tp t="s">
        <v>12 M</v>
        <stp/>
        <stp>MARKET_CAP</stp>
        <stp>PBM</stp>
        <tr r="I79" s="1"/>
        <tr r="I213" s="1"/>
      </tp>
      <tp t="s">
        <v>1,585 M</v>
        <stp/>
        <stp>MARKET_CAP</stp>
        <stp>PCT</stp>
        <tr r="I167" s="1"/>
      </tp>
      <tp>
        <v>1.31</v>
        <stp/>
        <stp>MARK</stp>
        <stp>EU</stp>
        <tr r="C120" s="1"/>
      </tp>
      <tp>
        <v>4.8</v>
        <stp/>
        <stp>MARK</stp>
        <stp>MX</stp>
        <tr r="C113" s="1"/>
      </tp>
      <tp>
        <v>2236805</v>
        <stp/>
        <stp>VOLUME</stp>
        <stp>NTSK</stp>
        <tr r="F224" s="1"/>
      </tp>
      <tp>
        <v>317704</v>
        <stp/>
        <stp>VOLUME</stp>
        <stp>FTRE</stp>
        <tr r="F200" s="1"/>
      </tp>
      <tp>
        <v>295553</v>
        <stp/>
        <stp>VOLUME</stp>
        <stp>CTOS</stp>
        <tr r="F157" s="1"/>
      </tp>
      <tp t="s">
        <v>loading</v>
        <stp/>
        <stp>CUSTOM2</stp>
        <stp>CYH</stp>
        <tr r="K109" s="1"/>
      </tp>
      <tp t="s">
        <v>loading</v>
        <stp/>
        <stp>CUSTOM3</stp>
        <stp>CYH</stp>
        <tr r="J109" s="1"/>
      </tp>
      <tp t="s">
        <v>loading</v>
        <stp/>
        <stp>CUSTOM3</stp>
        <stp>CXM</stp>
        <tr r="J206" s="1"/>
      </tp>
      <tp t="s">
        <v>loading</v>
        <stp/>
        <stp>CUSTOM2</stp>
        <stp>CXM</stp>
        <tr r="K206" s="1"/>
      </tp>
      <tp>
        <v>9727530</v>
        <stp/>
        <stp>VOLUME</stp>
        <stp>BTBT</stp>
        <tr r="F100" s="1"/>
      </tp>
      <tp t="s">
        <v>loading</v>
        <stp/>
        <stp>CUSTOM3</stp>
        <stp>BZAI</stp>
        <tr r="J218" s="1"/>
      </tp>
      <tp>
        <v>56.65</v>
        <stp/>
        <stp>CUSTOM2</stp>
        <stp>BZAI</stp>
        <tr r="K218" s="1"/>
      </tp>
      <tp t="s">
        <v>loading</v>
        <stp/>
        <stp>CUSTOM2</stp>
        <stp>JZXN</stp>
        <tr r="K91" s="1"/>
      </tp>
      <tp t="s">
        <v>loading</v>
        <stp/>
        <stp>CUSTOM3</stp>
        <stp>JZXN</stp>
        <tr r="J91" s="1"/>
      </tp>
      <tp>
        <v>406732</v>
        <stp/>
        <stp>VOLUME</stp>
        <stp>AUUD</stp>
        <tr r="F181" s="1"/>
      </tp>
      <tp>
        <v>611315</v>
        <stp/>
        <stp>VOLUME</stp>
        <stp>FULC</stp>
        <tr r="F164" s="1"/>
      </tp>
      <tp>
        <v>3853436</v>
        <stp/>
        <stp>VOLUME</stp>
        <stp>BULL</stp>
        <tr r="F89" s="1"/>
      </tp>
      <tp t="s">
        <v>loading</v>
        <stp/>
        <stp>CUSTOM3</stp>
        <stp>BTG</stp>
        <tr r="J139" s="1"/>
      </tp>
      <tp t="s">
        <v>loading</v>
        <stp/>
        <stp>CUSTOM2</stp>
        <stp>BTG</stp>
        <tr r="K139" s="1"/>
      </tp>
      <tp>
        <v>5291248</v>
        <stp/>
        <stp>VOLUME</stp>
        <stp>NUAI</stp>
        <tr r="F93" s="1"/>
      </tp>
      <tp>
        <v>455684</v>
        <stp/>
        <stp>VOLUME</stp>
        <stp>HUBC</stp>
        <tr r="F190" s="1"/>
      </tp>
      <tp t="s">
        <v>loading</v>
        <stp/>
        <stp>CUSTOM2</stp>
        <stp>BYND</stp>
        <tr r="K214" s="1"/>
      </tp>
      <tp t="s">
        <v>loading</v>
        <stp/>
        <stp>CUSTOM3</stp>
        <stp>BYND</stp>
        <tr r="J214" s="1"/>
      </tp>
      <tp t="s">
        <v>loading</v>
        <stp/>
        <stp>CUSTOM3</stp>
        <stp>RYAM</stp>
        <tr r="J134" s="1"/>
      </tp>
      <tp t="s">
        <v>loading</v>
        <stp/>
        <stp>CUSTOM2</stp>
        <stp>RYAM</stp>
        <tr r="K134" s="1"/>
      </tp>
      <tp t="s">
        <v>1,279 M</v>
        <stp/>
        <stp>MARKET_CAP</stp>
        <stp>RES</stp>
        <tr r="I165" s="1"/>
      </tp>
      <tp t="s">
        <v>loading</v>
        <stp/>
        <stp>CUSTOM2</stp>
        <stp>KYTX</stp>
        <tr r="K207" s="1"/>
      </tp>
      <tp t="s">
        <v>loading</v>
        <stp/>
        <stp>CUSTOM3</stp>
        <stp>KYTX</stp>
        <tr r="J207" s="1"/>
      </tp>
      <tp t="s">
        <v>loading</v>
        <stp/>
        <stp>CUSTOM2</stp>
        <stp>ALT</stp>
        <tr r="K189" s="1"/>
      </tp>
      <tp t="s">
        <v>loading</v>
        <stp/>
        <stp>CUSTOM3</stp>
        <stp>ALT</stp>
        <tr r="J189" s="1"/>
      </tp>
      <tp>
        <v>3026935</v>
        <stp/>
        <stp>VOLUME</stp>
        <stp>AVTR</stp>
        <tr r="F211" s="1"/>
      </tp>
      <tp>
        <v>73.66</v>
        <stp/>
        <stp>CUSTOM2</stp>
        <stp>ACB</stp>
        <tr r="K222" s="1"/>
      </tp>
      <tp t="s">
        <v>loading</v>
        <stp/>
        <stp>CUSTOM3</stp>
        <stp>ACB</stp>
        <tr r="J222" s="1"/>
      </tp>
      <tp t="s">
        <v>20 M</v>
        <stp/>
        <stp>MARKET_CAP</stp>
        <stp>SST</stp>
        <tr r="I178" s="1"/>
      </tp>
      <tp t="s">
        <v>451 M</v>
        <stp/>
        <stp>MARKET_CAP</stp>
        <stp>SPT</stp>
        <tr r="I219" s="1"/>
      </tp>
      <tp t="s">
        <v>369 M</v>
        <stp/>
        <stp>MARKET_CAP</stp>
        <stp>SES</stp>
        <tr r="I126" s="1"/>
      </tp>
      <tp t="s">
        <v>8.5 M</v>
        <stp/>
        <stp>MARKET_CAP</stp>
        <stp>SMX</stp>
        <tr r="I118" s="1"/>
      </tp>
      <tp t="s">
        <v>loading</v>
        <stp/>
        <stp>CUSTOM2</stp>
        <stp>TE</stp>
        <tr r="K94" s="1"/>
      </tp>
      <tp t="s">
        <v>loading</v>
        <stp/>
        <stp>CUSTOM3</stp>
        <stp>TE</stp>
        <tr r="J94" s="1"/>
      </tp>
      <tp t="s">
        <v>loading</v>
        <stp/>
        <stp>CUSTOM2</stp>
        <stp>RR</stp>
        <tr r="K103" s="1"/>
      </tp>
      <tp t="s">
        <v>loading</v>
        <stp/>
        <stp>CUSTOM3</stp>
        <stp>RR</stp>
        <tr r="J103" s="1"/>
      </tp>
      <tp t="s">
        <v>loading</v>
        <stp/>
        <stp>CUSTOM2</stp>
        <stp>QS</stp>
        <tr r="K132" s="1"/>
        <tr r="K170" s="1"/>
      </tp>
      <tp t="s">
        <v>loading</v>
        <stp/>
        <stp>CUSTOM3</stp>
        <stp>QS</stp>
        <tr r="J132" s="1"/>
        <tr r="J170" s="1"/>
      </tp>
      <tp t="s">
        <v>loading</v>
        <stp/>
        <stp>CUSTOM2</stp>
        <stp>PD</stp>
        <tr r="K231" s="1"/>
      </tp>
      <tp t="s">
        <v>loading</v>
        <stp/>
        <stp>CUSTOM3</stp>
        <stp>PD</stp>
        <tr r="J231" s="1"/>
      </tp>
      <tp>
        <v>58.78</v>
        <stp/>
        <stp>CUSTOM2</stp>
        <stp>EU</stp>
        <tr r="K120" s="1"/>
      </tp>
      <tp t="s">
        <v>loading</v>
        <stp/>
        <stp>CUSTOM3</stp>
        <stp>EU</stp>
        <tr r="J120" s="1"/>
      </tp>
      <tp>
        <v>57.78</v>
        <stp/>
        <stp>CUSTOM2</stp>
        <stp>MX</stp>
        <tr r="K113" s="1"/>
      </tp>
      <tp>
        <v>38.25</v>
        <stp/>
        <stp>CUSTOM3</stp>
        <stp>MX</stp>
        <tr r="J113" s="1"/>
      </tp>
      <tp t="s">
        <v>loading</v>
        <stp/>
        <stp>CUSTOM2</stp>
        <stp>AVTR</stp>
        <tr r="K211" s="1"/>
      </tp>
      <tp t="s">
        <v>loading</v>
        <stp/>
        <stp>CUSTOM3</stp>
        <stp>AVTR</stp>
        <tr r="J211" s="1"/>
      </tp>
      <tp>
        <v>708632</v>
        <stp/>
        <stp>VOLUME</stp>
        <stp>KYTX</stp>
        <tr r="F207" s="1"/>
      </tp>
      <tp>
        <v>43536346</v>
        <stp/>
        <stp>VOLUME</stp>
        <stp>BYND</stp>
        <tr r="F214" s="1"/>
      </tp>
      <tp>
        <v>230560</v>
        <stp/>
        <stp>VOLUME</stp>
        <stp>RYAM</stp>
        <tr r="F134" s="1"/>
      </tp>
      <tp t="s">
        <v>loading</v>
        <stp/>
        <stp>CUSTOM2</stp>
        <stp>NPT</stp>
        <tr r="K183" s="1"/>
      </tp>
      <tp t="s">
        <v>loading</v>
        <stp/>
        <stp>CUSTOM3</stp>
        <stp>NPT</stp>
        <tr r="J183" s="1"/>
      </tp>
      <tp t="s">
        <v>loading</v>
        <stp/>
        <stp>CUSTOM2</stp>
        <stp>FULC</stp>
        <tr r="K164" s="1"/>
      </tp>
      <tp t="s">
        <v>loading</v>
        <stp/>
        <stp>CUSTOM2</stp>
        <stp>BULL</stp>
        <tr r="K89" s="1"/>
      </tp>
      <tp t="s">
        <v>loading</v>
        <stp/>
        <stp>CUSTOM3</stp>
        <stp>FULC</stp>
        <tr r="J164" s="1"/>
      </tp>
      <tp t="s">
        <v>loading</v>
        <stp/>
        <stp>CUSTOM3</stp>
        <stp>BULL</stp>
        <tr r="J89" s="1"/>
      </tp>
      <tp t="s">
        <v>loading</v>
        <stp/>
        <stp>CUSTOM3</stp>
        <stp>NUAI</stp>
        <tr r="J93" s="1"/>
      </tp>
      <tp t="s">
        <v>loading</v>
        <stp/>
        <stp>CUSTOM2</stp>
        <stp>NUAI</stp>
        <tr r="K93" s="1"/>
      </tp>
      <tp t="s">
        <v>loading</v>
        <stp/>
        <stp>CUSTOM2</stp>
        <stp>HUBC</stp>
        <tr r="K190" s="1"/>
      </tp>
      <tp t="s">
        <v>loading</v>
        <stp/>
        <stp>CUSTOM3</stp>
        <stp>HUBC</stp>
        <tr r="J190" s="1"/>
      </tp>
      <tp t="s">
        <v>loading</v>
        <stp/>
        <stp>CUSTOM3</stp>
        <stp>AUUD</stp>
        <tr r="J181" s="1"/>
      </tp>
      <tp t="s">
        <v>loading</v>
        <stp/>
        <stp>CUSTOM2</stp>
        <stp>AUUD</stp>
        <tr r="K181" s="1"/>
      </tp>
      <tp>
        <v>71376</v>
        <stp/>
        <stp>VOLUME</stp>
        <stp>JZXN</stp>
        <tr r="F91" s="1"/>
      </tp>
      <tp>
        <v>2142936</v>
        <stp/>
        <stp>VOLUME</stp>
        <stp>BZAI</stp>
        <tr r="F218" s="1"/>
      </tp>
      <tp t="s">
        <v>loading</v>
        <stp/>
        <stp>CUSTOM3</stp>
        <stp>CTOS</stp>
        <tr r="J157" s="1"/>
      </tp>
      <tp t="s">
        <v>loading</v>
        <stp/>
        <stp>CUSTOM2</stp>
        <stp>CTOS</stp>
        <tr r="K157" s="1"/>
      </tp>
      <tp t="s">
        <v>loading</v>
        <stp/>
        <stp>CUSTOM2</stp>
        <stp>BTBT</stp>
        <tr r="K100" s="1"/>
      </tp>
      <tp t="s">
        <v>loading</v>
        <stp/>
        <stp>CUSTOM3</stp>
        <stp>BTBT</stp>
        <tr r="J100" s="1"/>
      </tp>
      <tp t="s">
        <v>loading</v>
        <stp/>
        <stp>CUSTOM2</stp>
        <stp>FTRE</stp>
        <tr r="K200" s="1"/>
      </tp>
      <tp t="s">
        <v>loading</v>
        <stp/>
        <stp>CUSTOM3</stp>
        <stp>NTSK</stp>
        <tr r="J224" s="1"/>
      </tp>
      <tp t="s">
        <v>loading</v>
        <stp/>
        <stp>CUSTOM3</stp>
        <stp>FTRE</stp>
        <tr r="J200" s="1"/>
      </tp>
      <tp t="s">
        <v>loading</v>
        <stp/>
        <stp>CUSTOM2</stp>
        <stp>NTSK</stp>
        <tr r="K224" s="1"/>
      </tp>
      <tp t="s">
        <v>loading</v>
        <stp/>
        <stp>CUSTOM3</stp>
        <stp>LAC</stp>
        <tr r="J90" s="1"/>
      </tp>
      <tp t="s">
        <v>loading</v>
        <stp/>
        <stp>CUSTOM2</stp>
        <stp>LAC</stp>
        <tr r="K90" s="1"/>
      </tp>
      <tp t="s">
        <v>loading</v>
        <stp/>
        <stp>CUSTOM2</stp>
        <stp>LPL</stp>
        <tr r="K186" s="1"/>
      </tp>
      <tp t="s">
        <v>loading</v>
        <stp/>
        <stp>CUSTOM3</stp>
        <stp>LPL</stp>
        <tr r="J186" s="1"/>
      </tp>
      <tp>
        <v>5.49</v>
        <stp/>
        <stp>CUSTOM3</stp>
        <stp>GSIT</stp>
        <tr r="J217" s="1"/>
      </tp>
      <tp>
        <v>60.46</v>
        <stp/>
        <stp>CUSTOM2</stp>
        <stp>GSIT</stp>
        <tr r="K217" s="1"/>
      </tp>
      <tp t="s">
        <v>loading</v>
        <stp/>
        <stp>CUSTOM3</stp>
        <stp>ASAN</stp>
        <tr r="J196" s="1"/>
      </tp>
      <tp t="s">
        <v>loading</v>
        <stp/>
        <stp>CUSTOM2</stp>
        <stp>ASAN</stp>
        <tr r="K196" s="1"/>
      </tp>
      <tp t="s">
        <v>loading</v>
        <stp/>
        <stp>CUSTOM2</stp>
        <stp>ZSPC</stp>
        <tr r="K69" s="1"/>
      </tp>
      <tp t="s">
        <v>loading</v>
        <stp/>
        <stp>CUSTOM3</stp>
        <stp>ZSPC</stp>
        <tr r="J69" s="1"/>
      </tp>
      <tp t="s">
        <v>loading</v>
        <stp/>
        <stp>CUSTOM2</stp>
        <stp>ASTI</stp>
        <tr r="K131" s="1"/>
        <tr r="K174" s="1"/>
      </tp>
      <tp t="s">
        <v>loading</v>
        <stp/>
        <stp>CUSTOM3</stp>
        <stp>GSUN</stp>
        <tr r="J82" s="1"/>
      </tp>
      <tp t="s">
        <v>loading</v>
        <stp/>
        <stp>CUSTOM3</stp>
        <stp>ASTI</stp>
        <tr r="J131" s="1"/>
        <tr r="J174" s="1"/>
      </tp>
      <tp t="s">
        <v>loading</v>
        <stp/>
        <stp>CUSTOM2</stp>
        <stp>GSUN</stp>
        <tr r="K82" s="1"/>
      </tp>
      <tp t="s">
        <v>loading</v>
        <stp/>
        <stp>CUSTOM2</stp>
        <stp>LRHC</stp>
        <tr r="K187" s="1"/>
      </tp>
      <tp t="s">
        <v>loading</v>
        <stp/>
        <stp>CUSTOM3</stp>
        <stp>LRHC</stp>
        <tr r="J187" s="1"/>
      </tp>
      <tp t="s">
        <v>loading</v>
        <stp/>
        <stp>CUSTOM3</stp>
        <stp>FRMI</stp>
        <tr r="J158" s="1"/>
      </tp>
      <tp t="s">
        <v>loading</v>
        <stp/>
        <stp>CUSTOM2</stp>
        <stp>FRMI</stp>
        <tr r="K158" s="1"/>
      </tp>
      <tp t="s">
        <v>loading</v>
        <stp/>
        <stp>CUSTOM2</stp>
        <stp>VRNO</stp>
        <tr r="K205" s="1"/>
      </tp>
      <tp t="s">
        <v>loading</v>
        <stp/>
        <stp>CUSTOM3</stp>
        <stp>TRON</stp>
        <tr r="J208" s="1"/>
      </tp>
      <tp t="s">
        <v>loading</v>
        <stp/>
        <stp>CUSTOM3</stp>
        <stp>VRNO</stp>
        <tr r="J205" s="1"/>
      </tp>
      <tp t="s">
        <v>loading</v>
        <stp/>
        <stp>CUSTOM2</stp>
        <stp>TRON</stp>
        <tr r="K208" s="1"/>
      </tp>
      <tp>
        <v>55.852600000000002</v>
        <stp/>
        <stp>CUSTOM2</stp>
        <stp>ORBS</stp>
        <tr r="K92" s="1"/>
      </tp>
      <tp t="s">
        <v>loading</v>
        <stp/>
        <stp>CUSTOM3</stp>
        <stp>ORBS</stp>
        <tr r="J92" s="1"/>
      </tp>
      <tp t="s">
        <v>loading</v>
        <stp/>
        <stp>CUSTOM3</stp>
        <stp>KREF</stp>
        <tr r="J188" s="1"/>
      </tp>
      <tp t="s">
        <v>loading</v>
        <stp/>
        <stp>CUSTOM2</stp>
        <stp>KREF</stp>
        <tr r="K188" s="1"/>
      </tp>
      <tp>
        <v>61.570799999999998</v>
        <stp/>
        <stp>CUSTOM2</stp>
        <stp>SRFM</stp>
        <tr r="K232" s="1"/>
        <tr r="K95" s="1"/>
      </tp>
      <tp>
        <v>-48.005699999999997</v>
        <stp/>
        <stp>CUSTOM3</stp>
        <stp>SRFM</stp>
        <tr r="J95" s="1"/>
        <tr r="J232" s="1"/>
      </tp>
      <tp t="s">
        <v>loading</v>
        <stp/>
        <stp>CUSTOM2</stp>
        <stp>PRZO</stp>
        <tr r="K124" s="1"/>
      </tp>
      <tp t="s">
        <v>loading</v>
        <stp/>
        <stp>CUSTOM3</stp>
        <stp>PRZO</stp>
        <tr r="J124" s="1"/>
      </tp>
      <tp t="s">
        <v>loading</v>
        <stp/>
        <stp>CUSTOM3</stp>
        <stp>FRSH</stp>
        <tr r="J203" s="1"/>
      </tp>
      <tp t="s">
        <v>loading</v>
        <stp/>
        <stp>CUSTOM2</stp>
        <stp>FRSH</stp>
        <tr r="K203" s="1"/>
      </tp>
      <tp>
        <v>-13.59</v>
        <stp/>
        <stp>CUSTOM3</stp>
        <stp>JEM</stp>
        <tr r="J199" s="1"/>
      </tp>
      <tp>
        <v>51.47</v>
        <stp/>
        <stp>CUSTOM2</stp>
        <stp>JEM</stp>
        <tr r="K199" s="1"/>
      </tp>
      <tp t="s">
        <v>N/A</v>
        <stp/>
        <stp>VOLUME</stp>
        <stp>QVCGP</stp>
        <tr r="F191" s="1"/>
      </tp>
      <tp t="s">
        <v>loading</v>
        <stp/>
        <stp>CUSTOM2</stp>
        <stp>INV</stp>
        <tr r="K163" s="1"/>
      </tp>
      <tp t="s">
        <v>loading</v>
        <stp/>
        <stp>CUSTOM3</stp>
        <stp>INV</stp>
        <tr r="J163" s="1"/>
      </tp>
      <tp>
        <v>88.03</v>
        <stp/>
        <stp>CUSTOM2</stp>
        <stp>IKT</stp>
        <tr r="K144" s="1"/>
      </tp>
      <tp>
        <v>17.02</v>
        <stp/>
        <stp>CUSTOM3</stp>
        <stp>IKT</stp>
        <tr r="J144" s="1"/>
      </tp>
      <tp t="s">
        <v>loading</v>
        <stp/>
        <stp>CUSTOM3</stp>
        <stp>IPW</stp>
        <tr r="J198" s="1"/>
      </tp>
      <tp t="s">
        <v>loading</v>
        <stp/>
        <stp>CUSTOM2</stp>
        <stp>IPW</stp>
        <tr r="K198" s="1"/>
      </tp>
      <tp t="s">
        <v>loading</v>
        <stp/>
        <stp>CUSTOM3</stp>
        <stp>CPIX</stp>
        <tr r="J180" s="1"/>
      </tp>
      <tp t="s">
        <v>loading</v>
        <stp/>
        <stp>CUSTOM2</stp>
        <stp>CPIX</stp>
        <tr r="K180" s="1"/>
      </tp>
      <tp t="s">
        <v>loading</v>
        <stp/>
        <stp>CUSTOM3</stp>
        <stp>OPEN</stp>
        <tr r="J101" s="1"/>
      </tp>
      <tp t="s">
        <v>loading</v>
        <stp/>
        <stp>CUSTOM2</stp>
        <stp>OPEN</stp>
        <tr r="K101" s="1"/>
      </tp>
      <tp t="s">
        <v>loading</v>
        <stp/>
        <stp>CUSTOM3</stp>
        <stp>RPGL</stp>
        <tr r="J76" s="1"/>
      </tp>
      <tp t="s">
        <v>loading</v>
        <stp/>
        <stp>CUSTOM2</stp>
        <stp>RPGL</stp>
        <tr r="K76" s="1"/>
      </tp>
      <tp t="s">
        <v>loading</v>
        <stp/>
        <stp>CUSTOM3</stp>
        <stp>IPST</stp>
        <tr r="J182" s="1"/>
      </tp>
      <tp t="s">
        <v>loading</v>
        <stp/>
        <stp>CUSTOM2</stp>
        <stp>IPST</stp>
        <tr r="K182" s="1"/>
      </tp>
      <tp t="s">
        <v>loading</v>
        <stp/>
        <stp>CUSTOM2</stp>
        <stp>HLX</stp>
        <tr r="K150" s="1"/>
      </tp>
      <tp t="s">
        <v>loading</v>
        <stp/>
        <stp>CUSTOM3</stp>
        <stp>HLX</stp>
        <tr r="J150" s="1"/>
      </tp>
      <tp>
        <v>33.020000000000003</v>
        <stp/>
        <stp>CUSTOM2</stp>
        <stp>HTZ</stp>
        <tr r="K230" s="1"/>
      </tp>
      <tp t="s">
        <v>loading</v>
        <stp/>
        <stp>CUSTOM3</stp>
        <stp>HTZ</stp>
        <tr r="J230" s="1"/>
      </tp>
      <tp>
        <v>20299522</v>
        <stp/>
        <stp>VOLUME</stp>
        <stp>TE</stp>
        <tr r="F94" s="1"/>
      </tp>
      <tp>
        <v>11455312</v>
        <stp/>
        <stp>VOLUME</stp>
        <stp>QS</stp>
        <tr r="F170" s="1"/>
        <tr r="F132" s="1"/>
      </tp>
      <tp>
        <v>662885</v>
        <stp/>
        <stp>VOLUME</stp>
        <stp>PD</stp>
        <tr r="F231" s="1"/>
      </tp>
      <tp>
        <v>6729357</v>
        <stp/>
        <stp>VOLUME</stp>
        <stp>RR</stp>
        <tr r="F103" s="1"/>
      </tp>
      <tp>
        <v>1168982</v>
        <stp/>
        <stp>VOLUME</stp>
        <stp>EU</stp>
        <tr r="F120" s="1"/>
      </tp>
      <tp>
        <v>797360</v>
        <stp/>
        <stp>VOLUME</stp>
        <stp>MX</stp>
        <tr r="F11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38F43-80F2-45C0-B908-541CC93B6110}">
  <dimension ref="A1:A145"/>
  <sheetViews>
    <sheetView tabSelected="1" topLeftCell="A136" zoomScaleNormal="100" workbookViewId="0">
      <selection activeCell="F141" sqref="F141"/>
    </sheetView>
  </sheetViews>
  <sheetFormatPr defaultRowHeight="15" x14ac:dyDescent="0.25"/>
  <cols>
    <col min="1" max="1" width="7.7109375" bestFit="1" customWidth="1"/>
  </cols>
  <sheetData>
    <row r="1" spans="1:1" x14ac:dyDescent="0.25">
      <c r="A1" t="s">
        <v>168</v>
      </c>
    </row>
    <row r="2" spans="1:1" x14ac:dyDescent="0.25">
      <c r="A2" t="s">
        <v>208</v>
      </c>
    </row>
    <row r="3" spans="1:1" x14ac:dyDescent="0.25">
      <c r="A3" t="s">
        <v>100</v>
      </c>
    </row>
    <row r="4" spans="1:1" x14ac:dyDescent="0.25">
      <c r="A4" t="s">
        <v>209</v>
      </c>
    </row>
    <row r="5" spans="1:1" x14ac:dyDescent="0.25">
      <c r="A5" t="s">
        <v>210</v>
      </c>
    </row>
    <row r="6" spans="1:1" x14ac:dyDescent="0.25">
      <c r="A6" t="s">
        <v>211</v>
      </c>
    </row>
    <row r="7" spans="1:1" x14ac:dyDescent="0.25">
      <c r="A7" t="s">
        <v>181</v>
      </c>
    </row>
    <row r="8" spans="1:1" x14ac:dyDescent="0.25">
      <c r="A8" t="s">
        <v>212</v>
      </c>
    </row>
    <row r="9" spans="1:1" x14ac:dyDescent="0.25">
      <c r="A9" t="s">
        <v>213</v>
      </c>
    </row>
    <row r="10" spans="1:1" x14ac:dyDescent="0.25">
      <c r="A10" t="s">
        <v>197</v>
      </c>
    </row>
    <row r="11" spans="1:1" x14ac:dyDescent="0.25">
      <c r="A11" t="s">
        <v>214</v>
      </c>
    </row>
    <row r="12" spans="1:1" x14ac:dyDescent="0.25">
      <c r="A12" t="s">
        <v>215</v>
      </c>
    </row>
    <row r="13" spans="1:1" x14ac:dyDescent="0.25">
      <c r="A13" t="s">
        <v>216</v>
      </c>
    </row>
    <row r="14" spans="1:1" x14ac:dyDescent="0.25">
      <c r="A14" t="s">
        <v>217</v>
      </c>
    </row>
    <row r="15" spans="1:1" x14ac:dyDescent="0.25">
      <c r="A15" t="s">
        <v>218</v>
      </c>
    </row>
    <row r="16" spans="1:1" x14ac:dyDescent="0.25">
      <c r="A16" t="s">
        <v>219</v>
      </c>
    </row>
    <row r="17" spans="1:1" x14ac:dyDescent="0.25">
      <c r="A17" t="s">
        <v>220</v>
      </c>
    </row>
    <row r="18" spans="1:1" x14ac:dyDescent="0.25">
      <c r="A18" t="s">
        <v>221</v>
      </c>
    </row>
    <row r="19" spans="1:1" x14ac:dyDescent="0.25">
      <c r="A19" t="s">
        <v>222</v>
      </c>
    </row>
    <row r="20" spans="1:1" x14ac:dyDescent="0.25">
      <c r="A20" t="s">
        <v>223</v>
      </c>
    </row>
    <row r="21" spans="1:1" x14ac:dyDescent="0.25">
      <c r="A21" t="s">
        <v>193</v>
      </c>
    </row>
    <row r="22" spans="1:1" x14ac:dyDescent="0.25">
      <c r="A22" t="s">
        <v>224</v>
      </c>
    </row>
    <row r="23" spans="1:1" x14ac:dyDescent="0.25">
      <c r="A23" t="s">
        <v>92</v>
      </c>
    </row>
    <row r="24" spans="1:1" x14ac:dyDescent="0.25">
      <c r="A24" t="s">
        <v>225</v>
      </c>
    </row>
    <row r="25" spans="1:1" x14ac:dyDescent="0.25">
      <c r="A25" t="s">
        <v>226</v>
      </c>
    </row>
    <row r="26" spans="1:1" x14ac:dyDescent="0.25">
      <c r="A26" t="s">
        <v>227</v>
      </c>
    </row>
    <row r="27" spans="1:1" x14ac:dyDescent="0.25">
      <c r="A27" t="s">
        <v>228</v>
      </c>
    </row>
    <row r="28" spans="1:1" x14ac:dyDescent="0.25">
      <c r="A28" t="s">
        <v>229</v>
      </c>
    </row>
    <row r="29" spans="1:1" x14ac:dyDescent="0.25">
      <c r="A29" t="s">
        <v>194</v>
      </c>
    </row>
    <row r="30" spans="1:1" x14ac:dyDescent="0.25">
      <c r="A30" t="s">
        <v>230</v>
      </c>
    </row>
    <row r="31" spans="1:1" x14ac:dyDescent="0.25">
      <c r="A31" t="s">
        <v>231</v>
      </c>
    </row>
    <row r="32" spans="1:1" x14ac:dyDescent="0.25">
      <c r="A32" t="s">
        <v>195</v>
      </c>
    </row>
    <row r="33" spans="1:1" x14ac:dyDescent="0.25">
      <c r="A33" t="s">
        <v>232</v>
      </c>
    </row>
    <row r="34" spans="1:1" x14ac:dyDescent="0.25">
      <c r="A34" t="s">
        <v>233</v>
      </c>
    </row>
    <row r="35" spans="1:1" x14ac:dyDescent="0.25">
      <c r="A35" t="s">
        <v>234</v>
      </c>
    </row>
    <row r="36" spans="1:1" x14ac:dyDescent="0.25">
      <c r="A36" t="s">
        <v>235</v>
      </c>
    </row>
    <row r="37" spans="1:1" x14ac:dyDescent="0.25">
      <c r="A37" t="s">
        <v>236</v>
      </c>
    </row>
    <row r="38" spans="1:1" x14ac:dyDescent="0.25">
      <c r="A38" t="s">
        <v>237</v>
      </c>
    </row>
    <row r="39" spans="1:1" x14ac:dyDescent="0.25">
      <c r="A39" t="s">
        <v>4</v>
      </c>
    </row>
    <row r="40" spans="1:1" x14ac:dyDescent="0.25">
      <c r="A40" t="s">
        <v>200</v>
      </c>
    </row>
    <row r="41" spans="1:1" x14ac:dyDescent="0.25">
      <c r="A41" t="s">
        <v>191</v>
      </c>
    </row>
    <row r="42" spans="1:1" x14ac:dyDescent="0.25">
      <c r="A42" t="s">
        <v>238</v>
      </c>
    </row>
    <row r="43" spans="1:1" x14ac:dyDescent="0.25">
      <c r="A43" t="s">
        <v>239</v>
      </c>
    </row>
    <row r="44" spans="1:1" x14ac:dyDescent="0.25">
      <c r="A44" t="s">
        <v>204</v>
      </c>
    </row>
    <row r="45" spans="1:1" x14ac:dyDescent="0.25">
      <c r="A45" t="s">
        <v>202</v>
      </c>
    </row>
    <row r="46" spans="1:1" x14ac:dyDescent="0.25">
      <c r="A46" t="s">
        <v>240</v>
      </c>
    </row>
    <row r="47" spans="1:1" x14ac:dyDescent="0.25">
      <c r="A47" t="s">
        <v>241</v>
      </c>
    </row>
    <row r="48" spans="1:1" x14ac:dyDescent="0.25">
      <c r="A48" t="s">
        <v>242</v>
      </c>
    </row>
    <row r="49" spans="1:1" x14ac:dyDescent="0.25">
      <c r="A49" t="s">
        <v>243</v>
      </c>
    </row>
    <row r="50" spans="1:1" x14ac:dyDescent="0.25">
      <c r="A50" t="s">
        <v>201</v>
      </c>
    </row>
    <row r="51" spans="1:1" x14ac:dyDescent="0.25">
      <c r="A51" t="s">
        <v>244</v>
      </c>
    </row>
    <row r="52" spans="1:1" x14ac:dyDescent="0.25">
      <c r="A52" t="s">
        <v>245</v>
      </c>
    </row>
    <row r="53" spans="1:1" x14ac:dyDescent="0.25">
      <c r="A53" t="s">
        <v>246</v>
      </c>
    </row>
    <row r="54" spans="1:1" x14ac:dyDescent="0.25">
      <c r="A54" t="s">
        <v>247</v>
      </c>
    </row>
    <row r="55" spans="1:1" x14ac:dyDescent="0.25">
      <c r="A55" t="s">
        <v>248</v>
      </c>
    </row>
    <row r="56" spans="1:1" x14ac:dyDescent="0.25">
      <c r="A56" t="s">
        <v>249</v>
      </c>
    </row>
    <row r="57" spans="1:1" x14ac:dyDescent="0.25">
      <c r="A57" t="s">
        <v>250</v>
      </c>
    </row>
    <row r="58" spans="1:1" x14ac:dyDescent="0.25">
      <c r="A58" t="s">
        <v>32</v>
      </c>
    </row>
    <row r="59" spans="1:1" x14ac:dyDescent="0.25">
      <c r="A59" t="s">
        <v>121</v>
      </c>
    </row>
    <row r="60" spans="1:1" x14ac:dyDescent="0.25">
      <c r="A60" t="s">
        <v>184</v>
      </c>
    </row>
    <row r="61" spans="1:1" x14ac:dyDescent="0.25">
      <c r="A61" t="s">
        <v>28</v>
      </c>
    </row>
    <row r="62" spans="1:1" x14ac:dyDescent="0.25">
      <c r="A62" t="s">
        <v>48</v>
      </c>
    </row>
    <row r="63" spans="1:1" x14ac:dyDescent="0.25">
      <c r="A63" t="s">
        <v>251</v>
      </c>
    </row>
    <row r="64" spans="1:1" x14ac:dyDescent="0.25">
      <c r="A64" t="s">
        <v>252</v>
      </c>
    </row>
    <row r="65" spans="1:1" x14ac:dyDescent="0.25">
      <c r="A65" t="s">
        <v>253</v>
      </c>
    </row>
    <row r="66" spans="1:1" x14ac:dyDescent="0.25">
      <c r="A66" t="s">
        <v>254</v>
      </c>
    </row>
    <row r="67" spans="1:1" x14ac:dyDescent="0.25">
      <c r="A67" t="s">
        <v>198</v>
      </c>
    </row>
    <row r="68" spans="1:1" x14ac:dyDescent="0.25">
      <c r="A68" t="s">
        <v>205</v>
      </c>
    </row>
    <row r="69" spans="1:1" x14ac:dyDescent="0.25">
      <c r="A69" t="s">
        <v>255</v>
      </c>
    </row>
    <row r="70" spans="1:1" x14ac:dyDescent="0.25">
      <c r="A70" t="s">
        <v>256</v>
      </c>
    </row>
    <row r="71" spans="1:1" x14ac:dyDescent="0.25">
      <c r="A71" t="s">
        <v>257</v>
      </c>
    </row>
    <row r="72" spans="1:1" x14ac:dyDescent="0.25">
      <c r="A72" t="s">
        <v>203</v>
      </c>
    </row>
    <row r="73" spans="1:1" x14ac:dyDescent="0.25">
      <c r="A73" t="s">
        <v>258</v>
      </c>
    </row>
    <row r="74" spans="1:1" x14ac:dyDescent="0.25">
      <c r="A74" t="s">
        <v>109</v>
      </c>
    </row>
    <row r="75" spans="1:1" x14ac:dyDescent="0.25">
      <c r="A75" t="s">
        <v>259</v>
      </c>
    </row>
    <row r="76" spans="1:1" x14ac:dyDescent="0.25">
      <c r="A76" t="s">
        <v>260</v>
      </c>
    </row>
    <row r="77" spans="1:1" x14ac:dyDescent="0.25">
      <c r="A77" t="s">
        <v>261</v>
      </c>
    </row>
    <row r="78" spans="1:1" x14ac:dyDescent="0.25">
      <c r="A78" t="s">
        <v>262</v>
      </c>
    </row>
    <row r="79" spans="1:1" x14ac:dyDescent="0.25">
      <c r="A79" t="s">
        <v>263</v>
      </c>
    </row>
    <row r="80" spans="1:1" x14ac:dyDescent="0.25">
      <c r="A80" t="s">
        <v>264</v>
      </c>
    </row>
    <row r="81" spans="1:1" x14ac:dyDescent="0.25">
      <c r="A81" t="s">
        <v>120</v>
      </c>
    </row>
    <row r="82" spans="1:1" x14ac:dyDescent="0.25">
      <c r="A82" t="s">
        <v>196</v>
      </c>
    </row>
    <row r="83" spans="1:1" x14ac:dyDescent="0.25">
      <c r="A83" t="s">
        <v>265</v>
      </c>
    </row>
    <row r="84" spans="1:1" x14ac:dyDescent="0.25">
      <c r="A84" t="s">
        <v>266</v>
      </c>
    </row>
    <row r="85" spans="1:1" x14ac:dyDescent="0.25">
      <c r="A85" t="s">
        <v>267</v>
      </c>
    </row>
    <row r="86" spans="1:1" x14ac:dyDescent="0.25">
      <c r="A86" t="s">
        <v>151</v>
      </c>
    </row>
    <row r="87" spans="1:1" x14ac:dyDescent="0.25">
      <c r="A87" t="s">
        <v>268</v>
      </c>
    </row>
    <row r="88" spans="1:1" x14ac:dyDescent="0.25">
      <c r="A88" t="s">
        <v>269</v>
      </c>
    </row>
    <row r="89" spans="1:1" x14ac:dyDescent="0.25">
      <c r="A89" t="s">
        <v>192</v>
      </c>
    </row>
    <row r="90" spans="1:1" x14ac:dyDescent="0.25">
      <c r="A90" t="s">
        <v>206</v>
      </c>
    </row>
    <row r="91" spans="1:1" x14ac:dyDescent="0.25">
      <c r="A91" t="s">
        <v>270</v>
      </c>
    </row>
    <row r="92" spans="1:1" x14ac:dyDescent="0.25">
      <c r="A92" t="s">
        <v>271</v>
      </c>
    </row>
    <row r="93" spans="1:1" x14ac:dyDescent="0.25">
      <c r="A93" t="s">
        <v>199</v>
      </c>
    </row>
    <row r="94" spans="1:1" x14ac:dyDescent="0.25">
      <c r="A94" t="s">
        <v>272</v>
      </c>
    </row>
    <row r="95" spans="1:1" x14ac:dyDescent="0.25">
      <c r="A95" t="s">
        <v>273</v>
      </c>
    </row>
    <row r="96" spans="1:1" x14ac:dyDescent="0.25">
      <c r="A96" t="s">
        <v>274</v>
      </c>
    </row>
    <row r="97" spans="1:1" x14ac:dyDescent="0.25">
      <c r="A97" t="s">
        <v>111</v>
      </c>
    </row>
    <row r="98" spans="1:1" x14ac:dyDescent="0.25">
      <c r="A98" t="s">
        <v>275</v>
      </c>
    </row>
    <row r="99" spans="1:1" x14ac:dyDescent="0.25">
      <c r="A99" t="s">
        <v>207</v>
      </c>
    </row>
    <row r="100" spans="1:1" x14ac:dyDescent="0.25">
      <c r="A100" t="s">
        <v>276</v>
      </c>
    </row>
    <row r="101" spans="1:1" x14ac:dyDescent="0.25">
      <c r="A101" t="s">
        <v>277</v>
      </c>
    </row>
    <row r="102" spans="1:1" x14ac:dyDescent="0.25">
      <c r="A102" t="s">
        <v>278</v>
      </c>
    </row>
    <row r="103" spans="1:1" x14ac:dyDescent="0.25">
      <c r="A103" t="s">
        <v>279</v>
      </c>
    </row>
    <row r="104" spans="1:1" x14ac:dyDescent="0.25">
      <c r="A104" t="s">
        <v>280</v>
      </c>
    </row>
    <row r="105" spans="1:1" x14ac:dyDescent="0.25">
      <c r="A105" t="s">
        <v>281</v>
      </c>
    </row>
    <row r="106" spans="1:1" x14ac:dyDescent="0.25">
      <c r="A106" t="s">
        <v>282</v>
      </c>
    </row>
    <row r="107" spans="1:1" x14ac:dyDescent="0.25">
      <c r="A107" t="s">
        <v>283</v>
      </c>
    </row>
    <row r="108" spans="1:1" x14ac:dyDescent="0.25">
      <c r="A108" t="s">
        <v>179</v>
      </c>
    </row>
    <row r="109" spans="1:1" x14ac:dyDescent="0.25">
      <c r="A109" t="s">
        <v>284</v>
      </c>
    </row>
    <row r="110" spans="1:1" x14ac:dyDescent="0.25">
      <c r="A110" t="s">
        <v>285</v>
      </c>
    </row>
    <row r="111" spans="1:1" x14ac:dyDescent="0.25">
      <c r="A111" t="s">
        <v>286</v>
      </c>
    </row>
    <row r="112" spans="1:1" x14ac:dyDescent="0.25">
      <c r="A112" t="s">
        <v>287</v>
      </c>
    </row>
    <row r="113" spans="1:1" x14ac:dyDescent="0.25">
      <c r="A113" t="s">
        <v>288</v>
      </c>
    </row>
    <row r="114" spans="1:1" x14ac:dyDescent="0.25">
      <c r="A114" t="s">
        <v>289</v>
      </c>
    </row>
    <row r="115" spans="1:1" x14ac:dyDescent="0.25">
      <c r="A115" t="s">
        <v>290</v>
      </c>
    </row>
    <row r="116" spans="1:1" x14ac:dyDescent="0.25">
      <c r="A116" t="s">
        <v>291</v>
      </c>
    </row>
    <row r="117" spans="1:1" x14ac:dyDescent="0.25">
      <c r="A117" t="s">
        <v>292</v>
      </c>
    </row>
    <row r="118" spans="1:1" x14ac:dyDescent="0.25">
      <c r="A118" t="s">
        <v>293</v>
      </c>
    </row>
    <row r="119" spans="1:1" x14ac:dyDescent="0.25">
      <c r="A119" t="s">
        <v>294</v>
      </c>
    </row>
    <row r="120" spans="1:1" x14ac:dyDescent="0.25">
      <c r="A120" t="s">
        <v>295</v>
      </c>
    </row>
    <row r="121" spans="1:1" x14ac:dyDescent="0.25">
      <c r="A121" t="s">
        <v>296</v>
      </c>
    </row>
    <row r="122" spans="1:1" x14ac:dyDescent="0.25">
      <c r="A122" t="s">
        <v>297</v>
      </c>
    </row>
    <row r="123" spans="1:1" x14ac:dyDescent="0.25">
      <c r="A123" t="s">
        <v>298</v>
      </c>
    </row>
    <row r="124" spans="1:1" x14ac:dyDescent="0.25">
      <c r="A124" t="s">
        <v>142</v>
      </c>
    </row>
    <row r="125" spans="1:1" x14ac:dyDescent="0.25">
      <c r="A125" t="s">
        <v>127</v>
      </c>
    </row>
    <row r="126" spans="1:1" x14ac:dyDescent="0.25">
      <c r="A126" t="s">
        <v>299</v>
      </c>
    </row>
    <row r="127" spans="1:1" x14ac:dyDescent="0.25">
      <c r="A127" t="s">
        <v>300</v>
      </c>
    </row>
    <row r="128" spans="1:1" x14ac:dyDescent="0.25">
      <c r="A128" t="s">
        <v>301</v>
      </c>
    </row>
    <row r="129" spans="1:1" x14ac:dyDescent="0.25">
      <c r="A129" t="s">
        <v>302</v>
      </c>
    </row>
    <row r="130" spans="1:1" x14ac:dyDescent="0.25">
      <c r="A130" t="s">
        <v>303</v>
      </c>
    </row>
    <row r="131" spans="1:1" x14ac:dyDescent="0.25">
      <c r="A131" t="s">
        <v>304</v>
      </c>
    </row>
    <row r="132" spans="1:1" x14ac:dyDescent="0.25">
      <c r="A132" t="s">
        <v>305</v>
      </c>
    </row>
    <row r="133" spans="1:1" x14ac:dyDescent="0.25">
      <c r="A133" t="s">
        <v>306</v>
      </c>
    </row>
    <row r="134" spans="1:1" x14ac:dyDescent="0.25">
      <c r="A134" t="s">
        <v>307</v>
      </c>
    </row>
    <row r="135" spans="1:1" x14ac:dyDescent="0.25">
      <c r="A135" t="s">
        <v>56</v>
      </c>
    </row>
    <row r="136" spans="1:1" x14ac:dyDescent="0.25">
      <c r="A136" t="s">
        <v>308</v>
      </c>
    </row>
    <row r="137" spans="1:1" x14ac:dyDescent="0.25">
      <c r="A137" t="s">
        <v>309</v>
      </c>
    </row>
    <row r="138" spans="1:1" x14ac:dyDescent="0.25">
      <c r="A138" t="s">
        <v>310</v>
      </c>
    </row>
    <row r="139" spans="1:1" x14ac:dyDescent="0.25">
      <c r="A139" t="s">
        <v>311</v>
      </c>
    </row>
    <row r="140" spans="1:1" x14ac:dyDescent="0.25">
      <c r="A140" t="s">
        <v>312</v>
      </c>
    </row>
    <row r="141" spans="1:1" x14ac:dyDescent="0.25">
      <c r="A141" t="s">
        <v>313</v>
      </c>
    </row>
    <row r="142" spans="1:1" x14ac:dyDescent="0.25">
      <c r="A142" t="s">
        <v>36</v>
      </c>
    </row>
    <row r="143" spans="1:1" x14ac:dyDescent="0.25">
      <c r="A143" t="s">
        <v>314</v>
      </c>
    </row>
    <row r="144" spans="1:1" x14ac:dyDescent="0.25">
      <c r="A144" t="s">
        <v>315</v>
      </c>
    </row>
    <row r="145" spans="1:1" x14ac:dyDescent="0.25">
      <c r="A145" t="s">
        <v>145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8E01-C4BE-4ED5-B78C-5A61E1601EA7}">
  <dimension ref="A1:K232"/>
  <sheetViews>
    <sheetView topLeftCell="A169" workbookViewId="0">
      <selection activeCell="A183" sqref="A183 A183:XFD185"/>
    </sheetView>
  </sheetViews>
  <sheetFormatPr defaultRowHeight="15" x14ac:dyDescent="0.25"/>
  <cols>
    <col min="1" max="1" width="9.140625" customWidth="1"/>
    <col min="2" max="2" width="21.5703125" customWidth="1"/>
    <col min="3" max="3" width="16.28515625" customWidth="1"/>
  </cols>
  <sheetData>
    <row r="1" spans="1:1" x14ac:dyDescent="0.25">
      <c r="A1" t="s">
        <v>7</v>
      </c>
    </row>
    <row r="2" spans="1:1" x14ac:dyDescent="0.25">
      <c r="A2" t="s">
        <v>17</v>
      </c>
    </row>
    <row r="3" spans="1:1" x14ac:dyDescent="0.25">
      <c r="A3" t="s">
        <v>3</v>
      </c>
    </row>
    <row r="4" spans="1:1" x14ac:dyDescent="0.25">
      <c r="A4" t="s">
        <v>13</v>
      </c>
    </row>
    <row r="5" spans="1:1" x14ac:dyDescent="0.25">
      <c r="A5" t="s">
        <v>60</v>
      </c>
    </row>
    <row r="6" spans="1:1" x14ac:dyDescent="0.25">
      <c r="A6" t="s">
        <v>10</v>
      </c>
    </row>
    <row r="7" spans="1:1" x14ac:dyDescent="0.25">
      <c r="A7" t="s">
        <v>61</v>
      </c>
    </row>
    <row r="8" spans="1:1" x14ac:dyDescent="0.25">
      <c r="A8" t="s">
        <v>8</v>
      </c>
    </row>
    <row r="9" spans="1:1" x14ac:dyDescent="0.25">
      <c r="A9" t="s">
        <v>62</v>
      </c>
    </row>
    <row r="10" spans="1:1" x14ac:dyDescent="0.25">
      <c r="A10" t="s">
        <v>5</v>
      </c>
    </row>
    <row r="11" spans="1:1" x14ac:dyDescent="0.25">
      <c r="A11" t="s">
        <v>63</v>
      </c>
    </row>
    <row r="12" spans="1:1" x14ac:dyDescent="0.25">
      <c r="A12" t="s">
        <v>64</v>
      </c>
    </row>
    <row r="13" spans="1:1" x14ac:dyDescent="0.25">
      <c r="A13" t="s">
        <v>20</v>
      </c>
    </row>
    <row r="14" spans="1:1" x14ac:dyDescent="0.25">
      <c r="A14" t="s">
        <v>65</v>
      </c>
    </row>
    <row r="15" spans="1:1" x14ac:dyDescent="0.25">
      <c r="A15" t="s">
        <v>66</v>
      </c>
    </row>
    <row r="16" spans="1:1" x14ac:dyDescent="0.25">
      <c r="A16" t="s">
        <v>67</v>
      </c>
    </row>
    <row r="17" spans="1:1" x14ac:dyDescent="0.25">
      <c r="A17" t="s">
        <v>6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68</v>
      </c>
    </row>
    <row r="21" spans="1:1" x14ac:dyDescent="0.25">
      <c r="A21" t="s">
        <v>69</v>
      </c>
    </row>
    <row r="22" spans="1:1" x14ac:dyDescent="0.25">
      <c r="A22" t="s">
        <v>70</v>
      </c>
    </row>
    <row r="23" spans="1:1" x14ac:dyDescent="0.25">
      <c r="A23" t="s">
        <v>71</v>
      </c>
    </row>
    <row r="24" spans="1:1" x14ac:dyDescent="0.25">
      <c r="A24" t="s">
        <v>72</v>
      </c>
    </row>
    <row r="25" spans="1:1" x14ac:dyDescent="0.25">
      <c r="A25" t="s">
        <v>73</v>
      </c>
    </row>
    <row r="26" spans="1:1" x14ac:dyDescent="0.25">
      <c r="A26" s="1" t="s">
        <v>74</v>
      </c>
    </row>
    <row r="27" spans="1:1" x14ac:dyDescent="0.25">
      <c r="A27" t="s">
        <v>1</v>
      </c>
    </row>
    <row r="28" spans="1:1" x14ac:dyDescent="0.25">
      <c r="A28" t="s">
        <v>75</v>
      </c>
    </row>
    <row r="29" spans="1:1" x14ac:dyDescent="0.25">
      <c r="A29" s="1" t="s">
        <v>76</v>
      </c>
    </row>
    <row r="30" spans="1:1" x14ac:dyDescent="0.25">
      <c r="A30" t="s">
        <v>77</v>
      </c>
    </row>
    <row r="31" spans="1:1" x14ac:dyDescent="0.25">
      <c r="A31" t="s">
        <v>78</v>
      </c>
    </row>
    <row r="32" spans="1:1" x14ac:dyDescent="0.25">
      <c r="A32" t="s">
        <v>79</v>
      </c>
    </row>
    <row r="33" spans="1:1" x14ac:dyDescent="0.25">
      <c r="A33" t="s">
        <v>80</v>
      </c>
    </row>
    <row r="34" spans="1:1" x14ac:dyDescent="0.25">
      <c r="A34" t="s">
        <v>81</v>
      </c>
    </row>
    <row r="35" spans="1:1" x14ac:dyDescent="0.25">
      <c r="A35" t="s">
        <v>82</v>
      </c>
    </row>
    <row r="36" spans="1:1" x14ac:dyDescent="0.25">
      <c r="A36" t="s">
        <v>83</v>
      </c>
    </row>
    <row r="37" spans="1:1" x14ac:dyDescent="0.25">
      <c r="A37" t="s">
        <v>84</v>
      </c>
    </row>
    <row r="38" spans="1:1" x14ac:dyDescent="0.25">
      <c r="A38" s="1" t="s">
        <v>85</v>
      </c>
    </row>
    <row r="39" spans="1:1" x14ac:dyDescent="0.25">
      <c r="A39" t="s">
        <v>86</v>
      </c>
    </row>
    <row r="40" spans="1:1" x14ac:dyDescent="0.25">
      <c r="A40" t="s">
        <v>21</v>
      </c>
    </row>
    <row r="41" spans="1:1" x14ac:dyDescent="0.25">
      <c r="A41" t="s">
        <v>87</v>
      </c>
    </row>
    <row r="42" spans="1:1" x14ac:dyDescent="0.25">
      <c r="A42" t="s">
        <v>88</v>
      </c>
    </row>
    <row r="43" spans="1:1" x14ac:dyDescent="0.25">
      <c r="A43" t="s">
        <v>89</v>
      </c>
    </row>
    <row r="44" spans="1:1" x14ac:dyDescent="0.25">
      <c r="A44" t="s">
        <v>90</v>
      </c>
    </row>
    <row r="45" spans="1:1" x14ac:dyDescent="0.25">
      <c r="A45" t="s">
        <v>91</v>
      </c>
    </row>
    <row r="46" spans="1:1" x14ac:dyDescent="0.25">
      <c r="A46" t="s">
        <v>92</v>
      </c>
    </row>
    <row r="47" spans="1:1" x14ac:dyDescent="0.25">
      <c r="A47" t="s">
        <v>93</v>
      </c>
    </row>
    <row r="48" spans="1:1" x14ac:dyDescent="0.25">
      <c r="A48" t="s">
        <v>94</v>
      </c>
    </row>
    <row r="49" spans="1:1" x14ac:dyDescent="0.25">
      <c r="A49" t="s">
        <v>95</v>
      </c>
    </row>
    <row r="50" spans="1:1" x14ac:dyDescent="0.25">
      <c r="A50" t="s">
        <v>4</v>
      </c>
    </row>
    <row r="51" spans="1:1" x14ac:dyDescent="0.25">
      <c r="A51" t="s">
        <v>96</v>
      </c>
    </row>
    <row r="52" spans="1:1" x14ac:dyDescent="0.25">
      <c r="A52" t="s">
        <v>97</v>
      </c>
    </row>
    <row r="53" spans="1:1" x14ac:dyDescent="0.25">
      <c r="A53" t="s">
        <v>17</v>
      </c>
    </row>
    <row r="54" spans="1:1" x14ac:dyDescent="0.25">
      <c r="A54" t="s">
        <v>7</v>
      </c>
    </row>
    <row r="55" spans="1:1" x14ac:dyDescent="0.25">
      <c r="A55" t="s">
        <v>69</v>
      </c>
    </row>
    <row r="56" spans="1:1" x14ac:dyDescent="0.25">
      <c r="A56" t="s">
        <v>79</v>
      </c>
    </row>
    <row r="57" spans="1:1" x14ac:dyDescent="0.25">
      <c r="A57" s="1" t="s">
        <v>81</v>
      </c>
    </row>
    <row r="58" spans="1:1" x14ac:dyDescent="0.25">
      <c r="A58" t="s">
        <v>4</v>
      </c>
    </row>
    <row r="59" spans="1:1" x14ac:dyDescent="0.25">
      <c r="A59" t="s">
        <v>81</v>
      </c>
    </row>
    <row r="60" spans="1:1" x14ac:dyDescent="0.25">
      <c r="A60" t="s">
        <v>21</v>
      </c>
    </row>
    <row r="61" spans="1:1" x14ac:dyDescent="0.25">
      <c r="A61" t="s">
        <v>6</v>
      </c>
    </row>
    <row r="62" spans="1:1" x14ac:dyDescent="0.25">
      <c r="A62" t="s">
        <v>14</v>
      </c>
    </row>
    <row r="63" spans="1:1" x14ac:dyDescent="0.25">
      <c r="A63" t="s">
        <v>17</v>
      </c>
    </row>
    <row r="64" spans="1:1" x14ac:dyDescent="0.25">
      <c r="A64" t="s">
        <v>7</v>
      </c>
    </row>
    <row r="65" spans="1:11" x14ac:dyDescent="0.25">
      <c r="A65" t="s">
        <v>8</v>
      </c>
    </row>
    <row r="66" spans="1:11" x14ac:dyDescent="0.25">
      <c r="A66" s="1" t="s">
        <v>10</v>
      </c>
    </row>
    <row r="67" spans="1:11" x14ac:dyDescent="0.25">
      <c r="A67" t="s">
        <v>5</v>
      </c>
    </row>
    <row r="68" spans="1:11" x14ac:dyDescent="0.25">
      <c r="A68" t="s">
        <v>98</v>
      </c>
    </row>
    <row r="69" spans="1:11" x14ac:dyDescent="0.25">
      <c r="A69" s="1" t="s">
        <v>99</v>
      </c>
      <c r="B69" t="str">
        <f>RTD("tos.rtd", , "DESCRIPTION", "ZSPC")</f>
        <v>ZSPACE INC</v>
      </c>
      <c r="C69">
        <f>RTD("tos.rtd", , "MARK", "ZSPC")</f>
        <v>0.20610000000000001</v>
      </c>
      <c r="D69">
        <f>RTD("tos.rtd", , "MARK_CHANGE", "ZSPC")</f>
        <v>1.6199999999999999E-2</v>
      </c>
      <c r="E69" t="str">
        <f>RTD("tos.rtd", , "MARK_PERCENT_CHANGE", "ZSPC")</f>
        <v>+8.53%</v>
      </c>
      <c r="F69">
        <f>RTD("tos.rtd", , "VOLUME", "ZSPC")</f>
        <v>110590</v>
      </c>
      <c r="G69">
        <f>RTD("tos.rtd", , "BID", "ZSPC")</f>
        <v>0.18540000000000001</v>
      </c>
      <c r="H69">
        <f>RTD("tos.rtd", , "ASK", "ZSPC")</f>
        <v>0.20619999999999999</v>
      </c>
      <c r="I69" t="str">
        <f>RTD("tos.rtd", , "MARKET_CAP", "ZSPC")</f>
        <v>0.99 M</v>
      </c>
      <c r="J69" t="str">
        <f>RTD("tos.rtd", , "CUSTOM3", "ZSPC")</f>
        <v>loading</v>
      </c>
      <c r="K69" t="str">
        <f>RTD("tos.rtd", , "CUSTOM2", "ZSPC")</f>
        <v>loading</v>
      </c>
    </row>
    <row r="70" spans="1:11" x14ac:dyDescent="0.25">
      <c r="A70" t="s">
        <v>26</v>
      </c>
      <c r="B70" t="str">
        <f>RTD("tos.rtd", , "DESCRIPTION", "AGPU")</f>
        <v>AXE COMPUTE INC</v>
      </c>
      <c r="C70">
        <f>RTD("tos.rtd", , "MARK", "AGPU")</f>
        <v>7.6710000000000003</v>
      </c>
      <c r="D70">
        <f>RTD("tos.rtd", , "MARK_CHANGE", "AGPU")</f>
        <v>0.13089999999999999</v>
      </c>
      <c r="E70" t="str">
        <f>RTD("tos.rtd", , "MARK_PERCENT_CHANGE", "AGPU")</f>
        <v>+1.74%</v>
      </c>
      <c r="F70">
        <f>RTD("tos.rtd", , "VOLUME", "AGPU")</f>
        <v>42405</v>
      </c>
      <c r="G70">
        <f>RTD("tos.rtd", , "BID", "AGPU")</f>
        <v>7.67</v>
      </c>
      <c r="H70">
        <f>RTD("tos.rtd", , "ASK", "AGPU")</f>
        <v>7.77</v>
      </c>
      <c r="I70" t="str">
        <f>RTD("tos.rtd", , "MARKET_CAP", "AGPU")</f>
        <v>83 M</v>
      </c>
      <c r="J70" t="str">
        <f>RTD("tos.rtd", , "CUSTOM3", "AGPU")</f>
        <v>loading</v>
      </c>
      <c r="K70" t="str">
        <f>RTD("tos.rtd", , "CUSTOM2", "AGPU")</f>
        <v>loading</v>
      </c>
    </row>
    <row r="71" spans="1:11" x14ac:dyDescent="0.25">
      <c r="A71" t="s">
        <v>100</v>
      </c>
      <c r="B71" t="str">
        <f>RTD("tos.rtd", , "DESCRIPTION", "BIYA")</f>
        <v>BAIYA INTL GROUP INC</v>
      </c>
      <c r="C71">
        <f>RTD("tos.rtd", , "MARK", "BIYA")</f>
        <v>0.44369999999999998</v>
      </c>
      <c r="D71">
        <f>RTD("tos.rtd", , "MARK_CHANGE", "BIYA")</f>
        <v>0.16170000000000001</v>
      </c>
      <c r="E71" t="str">
        <f>RTD("tos.rtd", , "MARK_PERCENT_CHANGE", "BIYA")</f>
        <v>+57.34%</v>
      </c>
      <c r="F71">
        <f>RTD("tos.rtd", , "VOLUME", "BIYA")</f>
        <v>337940222</v>
      </c>
      <c r="G71">
        <f>RTD("tos.rtd", , "BID", "BIYA")</f>
        <v>0.44130000000000003</v>
      </c>
      <c r="H71">
        <f>RTD("tos.rtd", , "ASK", "BIYA")</f>
        <v>0.44379999999999997</v>
      </c>
      <c r="I71" t="str">
        <f>RTD("tos.rtd", , "MARKET_CAP", "BIYA")</f>
        <v>1.8 M</v>
      </c>
      <c r="J71">
        <f>RTD("tos.rtd", , "CUSTOM3", "BIYA")</f>
        <v>-90.957599999999999</v>
      </c>
      <c r="K71">
        <f>RTD("tos.rtd", , "CUSTOM2", "BIYA")</f>
        <v>54.283000000000001</v>
      </c>
    </row>
    <row r="72" spans="1:11" x14ac:dyDescent="0.25">
      <c r="A72" t="s">
        <v>101</v>
      </c>
      <c r="B72" t="str">
        <f>RTD("tos.rtd", , "DESCRIPTION", "RETO")</f>
        <v>RETO ECO-SOLUTIONS I A</v>
      </c>
      <c r="C72">
        <f>RTD("tos.rtd", , "MARK", "RETO")</f>
        <v>2.54</v>
      </c>
      <c r="D72">
        <f>RTD("tos.rtd", , "MARK_CHANGE", "RETO")</f>
        <v>7.0000000000000007E-2</v>
      </c>
      <c r="E72" t="str">
        <f>RTD("tos.rtd", , "MARK_PERCENT_CHANGE", "RETO")</f>
        <v>+2.83%</v>
      </c>
      <c r="F72">
        <f>RTD("tos.rtd", , "VOLUME", "RETO")</f>
        <v>1145</v>
      </c>
      <c r="G72">
        <f>RTD("tos.rtd", , "BID", "RETO")</f>
        <v>2.4700000000000002</v>
      </c>
      <c r="H72">
        <f>RTD("tos.rtd", , "ASK", "RETO")</f>
        <v>2.7</v>
      </c>
      <c r="I72" t="str">
        <f>RTD("tos.rtd", , "MARKET_CAP", "RETO")</f>
        <v>22 M</v>
      </c>
      <c r="J72" t="str">
        <f>RTD("tos.rtd", , "CUSTOM3", "RETO")</f>
        <v>loading</v>
      </c>
      <c r="K72" t="str">
        <f>RTD("tos.rtd", , "CUSTOM2", "RETO")</f>
        <v>loading</v>
      </c>
    </row>
    <row r="73" spans="1:11" x14ac:dyDescent="0.25">
      <c r="A73" s="1" t="s">
        <v>0</v>
      </c>
      <c r="B73" t="str">
        <f>RTD("tos.rtd", , "DESCRIPTION", "ELPW")</f>
        <v>ELONG PWR HLDG LTD A</v>
      </c>
      <c r="C73">
        <f>RTD("tos.rtd", , "MARK", "ELPW")</f>
        <v>0.98460000000000003</v>
      </c>
      <c r="D73">
        <f>RTD("tos.rtd", , "MARK_CHANGE", "ELPW")</f>
        <v>-1.54E-2</v>
      </c>
      <c r="E73" t="str">
        <f>RTD("tos.rtd", , "MARK_PERCENT_CHANGE", "ELPW")</f>
        <v>-1.54%</v>
      </c>
      <c r="F73">
        <f>RTD("tos.rtd", , "VOLUME", "ELPW")</f>
        <v>303408</v>
      </c>
      <c r="G73">
        <f>RTD("tos.rtd", , "BID", "ELPW")</f>
        <v>0.98450000000000004</v>
      </c>
      <c r="H73">
        <f>RTD("tos.rtd", , "ASK", "ELPW")</f>
        <v>1.01</v>
      </c>
      <c r="I73" t="str">
        <f>RTD("tos.rtd", , "MARKET_CAP", "ELPW")</f>
        <v>3.1 M</v>
      </c>
      <c r="J73" t="str">
        <f>RTD("tos.rtd", , "CUSTOM3", "ELPW")</f>
        <v>loading</v>
      </c>
      <c r="K73" t="str">
        <f>RTD("tos.rtd", , "CUSTOM2", "ELPW")</f>
        <v>loading</v>
      </c>
    </row>
    <row r="74" spans="1:11" x14ac:dyDescent="0.25">
      <c r="A74" t="s">
        <v>50</v>
      </c>
      <c r="B74" t="str">
        <f>RTD("tos.rtd", , "DESCRIPTION", "KIDZ")</f>
        <v>KIDZ AI INC</v>
      </c>
      <c r="C74">
        <f>RTD("tos.rtd", , "MARK", "KIDZ")</f>
        <v>0.67</v>
      </c>
      <c r="D74">
        <f>RTD("tos.rtd", , "MARK_CHANGE", "KIDZ")</f>
        <v>-4.8000000000000001E-2</v>
      </c>
      <c r="E74" t="str">
        <f>RTD("tos.rtd", , "MARK_PERCENT_CHANGE", "KIDZ")</f>
        <v>-6.69%</v>
      </c>
      <c r="F74">
        <f>RTD("tos.rtd", , "VOLUME", "KIDZ")</f>
        <v>86584</v>
      </c>
      <c r="G74">
        <f>RTD("tos.rtd", , "BID", "KIDZ")</f>
        <v>0.67</v>
      </c>
      <c r="H74">
        <f>RTD("tos.rtd", , "ASK", "KIDZ")</f>
        <v>0.67869999999999997</v>
      </c>
      <c r="I74" t="str">
        <f>RTD("tos.rtd", , "MARKET_CAP", "KIDZ")</f>
        <v>0.53 M</v>
      </c>
      <c r="J74" t="str">
        <f>RTD("tos.rtd", , "CUSTOM3", "KIDZ")</f>
        <v>loading</v>
      </c>
      <c r="K74" t="str">
        <f>RTD("tos.rtd", , "CUSTOM2", "KIDZ")</f>
        <v>loading</v>
      </c>
    </row>
    <row r="75" spans="1:11" x14ac:dyDescent="0.25">
      <c r="A75" s="1" t="s">
        <v>22</v>
      </c>
      <c r="B75" t="str">
        <f>RTD("tos.rtd", , "DESCRIPTION", "LOBO")</f>
        <v>LOBO TECHNOLOGIES LT A</v>
      </c>
      <c r="C75">
        <f>RTD("tos.rtd", , "MARK", "LOBO")</f>
        <v>0.64429999999999998</v>
      </c>
      <c r="D75">
        <f>RTD("tos.rtd", , "MARK_CHANGE", "LOBO")</f>
        <v>-2.3E-2</v>
      </c>
      <c r="E75" t="str">
        <f>RTD("tos.rtd", , "MARK_PERCENT_CHANGE", "LOBO")</f>
        <v>-3.45%</v>
      </c>
      <c r="F75">
        <f>RTD("tos.rtd", , "VOLUME", "LOBO")</f>
        <v>70667</v>
      </c>
      <c r="G75">
        <f>RTD("tos.rtd", , "BID", "LOBO")</f>
        <v>0.63190000000000002</v>
      </c>
      <c r="H75">
        <f>RTD("tos.rtd", , "ASK", "LOBO")</f>
        <v>0.64429999999999998</v>
      </c>
      <c r="I75" t="str">
        <f>RTD("tos.rtd", , "MARKET_CAP", "LOBO")</f>
        <v>8.9 M</v>
      </c>
      <c r="J75" t="str">
        <f>RTD("tos.rtd", , "CUSTOM3", "LOBO")</f>
        <v>loading</v>
      </c>
      <c r="K75" t="str">
        <f>RTD("tos.rtd", , "CUSTOM2", "LOBO")</f>
        <v>loading</v>
      </c>
    </row>
    <row r="76" spans="1:11" x14ac:dyDescent="0.25">
      <c r="A76" t="s">
        <v>102</v>
      </c>
      <c r="B76" t="str">
        <f>RTD("tos.rtd", , "DESCRIPTION", "RPGL")</f>
        <v>REPUBLIC PWR GROUP L A</v>
      </c>
      <c r="C76">
        <f>RTD("tos.rtd", , "MARK", "RPGL")</f>
        <v>1.98</v>
      </c>
      <c r="D76">
        <f>RTD("tos.rtd", , "MARK_CHANGE", "RPGL")</f>
        <v>1.4999999999999999E-2</v>
      </c>
      <c r="E76" t="str">
        <f>RTD("tos.rtd", , "MARK_PERCENT_CHANGE", "RPGL")</f>
        <v>+0.76%</v>
      </c>
      <c r="F76">
        <f>RTD("tos.rtd", , "VOLUME", "RPGL")</f>
        <v>14505</v>
      </c>
      <c r="G76">
        <f>RTD("tos.rtd", , "BID", "RPGL")</f>
        <v>1.98</v>
      </c>
      <c r="H76">
        <f>RTD("tos.rtd", , "ASK", "RPGL")</f>
        <v>2.09</v>
      </c>
      <c r="I76" t="str">
        <f>RTD("tos.rtd", , "MARKET_CAP", "RPGL")</f>
        <v>2.2 M</v>
      </c>
      <c r="J76" t="str">
        <f>RTD("tos.rtd", , "CUSTOM3", "RPGL")</f>
        <v>loading</v>
      </c>
      <c r="K76" t="str">
        <f>RTD("tos.rtd", , "CUSTOM2", "RPGL")</f>
        <v>loading</v>
      </c>
    </row>
    <row r="77" spans="1:11" x14ac:dyDescent="0.25">
      <c r="A77" t="s">
        <v>23</v>
      </c>
      <c r="B77" t="str">
        <f>RTD("tos.rtd", , "DESCRIPTION", "CMND")</f>
        <v>CLEARMIND MEDICINE I</v>
      </c>
      <c r="C77">
        <f>RTD("tos.rtd", , "MARK", "CMND")</f>
        <v>2.2101000000000002</v>
      </c>
      <c r="D77">
        <f>RTD("tos.rtd", , "MARK_CHANGE", "CMND")</f>
        <v>-8.9899999999999994E-2</v>
      </c>
      <c r="E77" t="str">
        <f>RTD("tos.rtd", , "MARK_PERCENT_CHANGE", "CMND")</f>
        <v>-3.91%</v>
      </c>
      <c r="F77">
        <f>RTD("tos.rtd", , "VOLUME", "CMND")</f>
        <v>65049</v>
      </c>
      <c r="G77">
        <f>RTD("tos.rtd", , "BID", "CMND")</f>
        <v>2.21</v>
      </c>
      <c r="H77">
        <f>RTD("tos.rtd", , "ASK", "CMND")</f>
        <v>2.2799999999999998</v>
      </c>
      <c r="I77" t="str">
        <f>RTD("tos.rtd", , "MARKET_CAP", "CMND")</f>
        <v>3.3 M</v>
      </c>
      <c r="J77" t="str">
        <f>RTD("tos.rtd", , "CUSTOM3", "CMND")</f>
        <v>loading</v>
      </c>
      <c r="K77" t="str">
        <f>RTD("tos.rtd", , "CUSTOM2", "CMND")</f>
        <v>loading</v>
      </c>
    </row>
    <row r="78" spans="1:11" x14ac:dyDescent="0.25">
      <c r="A78" t="s">
        <v>103</v>
      </c>
      <c r="B78" t="str">
        <f>RTD("tos.rtd", , "DESCRIPTION", "NMAX")</f>
        <v>NEWSMAX INC B</v>
      </c>
      <c r="C78">
        <f>RTD("tos.rtd", , "MARK", "NMAX")</f>
        <v>8.2899999999999991</v>
      </c>
      <c r="D78">
        <f>RTD("tos.rtd", , "MARK_CHANGE", "NMAX")</f>
        <v>0.51</v>
      </c>
      <c r="E78" t="str">
        <f>RTD("tos.rtd", , "MARK_PERCENT_CHANGE", "NMAX")</f>
        <v>+6.56%</v>
      </c>
      <c r="F78">
        <f>RTD("tos.rtd", , "VOLUME", "NMAX")</f>
        <v>763023</v>
      </c>
      <c r="G78">
        <f>RTD("tos.rtd", , "BID", "NMAX")</f>
        <v>8.2799999999999994</v>
      </c>
      <c r="H78">
        <f>RTD("tos.rtd", , "ASK", "NMAX")</f>
        <v>8.3000000000000007</v>
      </c>
      <c r="I78" t="str">
        <f>RTD("tos.rtd", , "MARKET_CAP", "NMAX")</f>
        <v>1,071 M</v>
      </c>
      <c r="J78" t="str">
        <f>RTD("tos.rtd", , "CUSTOM3", "NMAX")</f>
        <v>loading</v>
      </c>
      <c r="K78" t="str">
        <f>RTD("tos.rtd", , "CUSTOM2", "NMAX")</f>
        <v>loading</v>
      </c>
    </row>
    <row r="79" spans="1:11" x14ac:dyDescent="0.25">
      <c r="A79" t="s">
        <v>29</v>
      </c>
      <c r="B79" t="str">
        <f>RTD("tos.rtd", , "DESCRIPTION", "PBM")</f>
        <v>PSYENCE BIOMEDICAL L</v>
      </c>
      <c r="C79">
        <f>RTD("tos.rtd", , "MARK", "PBM")</f>
        <v>3.0200999999999998</v>
      </c>
      <c r="D79">
        <f>RTD("tos.rtd", , "MARK_CHANGE", "PBM")</f>
        <v>-7.9899999999999999E-2</v>
      </c>
      <c r="E79" t="str">
        <f>RTD("tos.rtd", , "MARK_PERCENT_CHANGE", "PBM")</f>
        <v>-2.58%</v>
      </c>
      <c r="F79">
        <f>RTD("tos.rtd", , "VOLUME", "PBM")</f>
        <v>14501</v>
      </c>
      <c r="G79">
        <f>RTD("tos.rtd", , "BID", "PBM")</f>
        <v>3</v>
      </c>
      <c r="H79">
        <f>RTD("tos.rtd", , "ASK", "PBM")</f>
        <v>3.18</v>
      </c>
      <c r="I79" t="str">
        <f>RTD("tos.rtd", , "MARKET_CAP", "PBM")</f>
        <v>12 M</v>
      </c>
      <c r="J79" t="str">
        <f>RTD("tos.rtd", , "CUSTOM3", "PBM")</f>
        <v>loading</v>
      </c>
      <c r="K79" t="str">
        <f>RTD("tos.rtd", , "CUSTOM2", "PBM")</f>
        <v>loading</v>
      </c>
    </row>
    <row r="80" spans="1:11" x14ac:dyDescent="0.25">
      <c r="A80" t="s">
        <v>16</v>
      </c>
      <c r="B80" t="str">
        <f>RTD("tos.rtd", , "DESCRIPTION", "GAME")</f>
        <v>GAMESQUARE HLDGS INC</v>
      </c>
      <c r="C80">
        <f>RTD("tos.rtd", , "MARK", "GAME")</f>
        <v>0.40489999999999998</v>
      </c>
      <c r="D80">
        <f>RTD("tos.rtd", , "MARK_CHANGE", "GAME")</f>
        <v>3.8999999999999998E-3</v>
      </c>
      <c r="E80" t="str">
        <f>RTD("tos.rtd", , "MARK_PERCENT_CHANGE", "GAME")</f>
        <v>+0.97%</v>
      </c>
      <c r="F80">
        <f>RTD("tos.rtd", , "VOLUME", "GAME")</f>
        <v>292089</v>
      </c>
      <c r="G80">
        <f>RTD("tos.rtd", , "BID", "GAME")</f>
        <v>0.40489999999999998</v>
      </c>
      <c r="H80">
        <f>RTD("tos.rtd", , "ASK", "GAME")</f>
        <v>0.40500000000000003</v>
      </c>
      <c r="I80" t="str">
        <f>RTD("tos.rtd", , "MARKET_CAP", "GAME")</f>
        <v>41 M</v>
      </c>
      <c r="J80" t="str">
        <f>RTD("tos.rtd", , "CUSTOM3", "GAME")</f>
        <v>loading</v>
      </c>
      <c r="K80" t="str">
        <f>RTD("tos.rtd", , "CUSTOM2", "GAME")</f>
        <v>loading</v>
      </c>
    </row>
    <row r="81" spans="1:11" x14ac:dyDescent="0.25">
      <c r="A81" t="s">
        <v>104</v>
      </c>
      <c r="B81" t="str">
        <f>RTD("tos.rtd", , "DESCRIPTION", "SLAI")</f>
        <v>SOLAI LTD ADR A ADR</v>
      </c>
      <c r="C81">
        <f>RTD("tos.rtd", , "MARK", "SLAI")</f>
        <v>0.47070000000000001</v>
      </c>
      <c r="D81">
        <f>RTD("tos.rtd", , "MARK_CHANGE", "SLAI")</f>
        <v>-0.110801</v>
      </c>
      <c r="E81" t="str">
        <f>RTD("tos.rtd", , "MARK_PERCENT_CHANGE", "SLAI")</f>
        <v>-19.05%</v>
      </c>
      <c r="F81">
        <f>RTD("tos.rtd", , "VOLUME", "SLAI")</f>
        <v>120988</v>
      </c>
      <c r="G81">
        <f>RTD("tos.rtd", , "BID", "SLAI")</f>
        <v>0.46360000000000001</v>
      </c>
      <c r="H81">
        <f>RTD("tos.rtd", , "ASK", "SLAI")</f>
        <v>0.47570000000000001</v>
      </c>
      <c r="I81" t="str">
        <f>RTD("tos.rtd", , "MARKET_CAP", "SLAI")</f>
        <v>15 M</v>
      </c>
      <c r="J81" t="str">
        <f>RTD("tos.rtd", , "CUSTOM3", "SLAI")</f>
        <v>loading</v>
      </c>
      <c r="K81" t="str">
        <f>RTD("tos.rtd", , "CUSTOM2", "SLAI")</f>
        <v>loading</v>
      </c>
    </row>
    <row r="82" spans="1:11" x14ac:dyDescent="0.25">
      <c r="A82" t="s">
        <v>105</v>
      </c>
      <c r="B82" t="str">
        <f>RTD("tos.rtd", , "DESCRIPTION", "GSUN")</f>
        <v>GOLDEN SUN TECHNOLOG A</v>
      </c>
      <c r="C82">
        <f>RTD("tos.rtd", , "MARK", "GSUN")</f>
        <v>0.31869999999999998</v>
      </c>
      <c r="D82">
        <f>RTD("tos.rtd", , "MARK_CHANGE", "GSUN")</f>
        <v>-1.6199999999999999E-2</v>
      </c>
      <c r="E82" t="str">
        <f>RTD("tos.rtd", , "MARK_PERCENT_CHANGE", "GSUN")</f>
        <v>-4.84%</v>
      </c>
      <c r="F82">
        <f>RTD("tos.rtd", , "VOLUME", "GSUN")</f>
        <v>41105</v>
      </c>
      <c r="G82">
        <f>RTD("tos.rtd", , "BID", "GSUN")</f>
        <v>0.31869999999999998</v>
      </c>
      <c r="H82">
        <f>RTD("tos.rtd", , "ASK", "GSUN")</f>
        <v>0.32829999999999998</v>
      </c>
      <c r="I82" t="str">
        <f>RTD("tos.rtd", , "MARKET_CAP", "GSUN")</f>
        <v>3.2 M</v>
      </c>
      <c r="J82" t="str">
        <f>RTD("tos.rtd", , "CUSTOM3", "GSUN")</f>
        <v>loading</v>
      </c>
      <c r="K82" t="str">
        <f>RTD("tos.rtd", , "CUSTOM2", "GSUN")</f>
        <v>loading</v>
      </c>
    </row>
    <row r="83" spans="1:11" x14ac:dyDescent="0.25">
      <c r="A83" t="s">
        <v>31</v>
      </c>
      <c r="B83" t="str">
        <f>RTD("tos.rtd", , "DESCRIPTION", "LAES")</f>
        <v>SEALSQ CORP</v>
      </c>
      <c r="C83">
        <f>RTD("tos.rtd", , "MARK", "LAES")</f>
        <v>3.165</v>
      </c>
      <c r="D83">
        <f>RTD("tos.rtd", , "MARK_CHANGE", "LAES")</f>
        <v>-4.4999999999999998E-2</v>
      </c>
      <c r="E83" t="str">
        <f>RTD("tos.rtd", , "MARK_PERCENT_CHANGE", "LAES")</f>
        <v>-1.40%</v>
      </c>
      <c r="F83">
        <f>RTD("tos.rtd", , "VOLUME", "LAES")</f>
        <v>13026986</v>
      </c>
      <c r="G83">
        <f>RTD("tos.rtd", , "BID", "LAES")</f>
        <v>3.16</v>
      </c>
      <c r="H83">
        <f>RTD("tos.rtd", , "ASK", "LAES")</f>
        <v>3.17</v>
      </c>
      <c r="I83" t="str">
        <f>RTD("tos.rtd", , "MARKET_CAP", "LAES")</f>
        <v>705 M</v>
      </c>
      <c r="J83" t="str">
        <f>RTD("tos.rtd", , "CUSTOM3", "LAES")</f>
        <v>loading</v>
      </c>
      <c r="K83" t="str">
        <f>RTD("tos.rtd", , "CUSTOM2", "LAES")</f>
        <v>loading</v>
      </c>
    </row>
    <row r="84" spans="1:11" x14ac:dyDescent="0.25">
      <c r="A84" t="s">
        <v>19</v>
      </c>
      <c r="B84" t="str">
        <f>RTD("tos.rtd", , "DESCRIPTION", "BBAI")</f>
        <v>BIGBEAR AI HLDGS INC</v>
      </c>
      <c r="C84">
        <f>RTD("tos.rtd", , "MARK", "BBAI")</f>
        <v>3.6850000000000001</v>
      </c>
      <c r="D84">
        <f>RTD("tos.rtd", , "MARK_CHANGE", "BBAI")</f>
        <v>8.5000000000000006E-2</v>
      </c>
      <c r="E84" t="str">
        <f>RTD("tos.rtd", , "MARK_PERCENT_CHANGE", "BBAI")</f>
        <v>+2.36%</v>
      </c>
      <c r="F84">
        <f>RTD("tos.rtd", , "VOLUME", "BBAI")</f>
        <v>21866633</v>
      </c>
      <c r="G84">
        <f>RTD("tos.rtd", , "BID", "BBAI")</f>
        <v>3.68</v>
      </c>
      <c r="H84">
        <f>RTD("tos.rtd", , "ASK", "BBAI")</f>
        <v>3.69</v>
      </c>
      <c r="I84" t="str">
        <f>RTD("tos.rtd", , "MARKET_CAP", "BBAI")</f>
        <v>1,765 M</v>
      </c>
      <c r="J84" t="str">
        <f>RTD("tos.rtd", , "CUSTOM3", "BBAI")</f>
        <v>loading</v>
      </c>
      <c r="K84" t="str">
        <f>RTD("tos.rtd", , "CUSTOM2", "BBAI")</f>
        <v>loading</v>
      </c>
    </row>
    <row r="85" spans="1:11" x14ac:dyDescent="0.25">
      <c r="A85" t="s">
        <v>54</v>
      </c>
      <c r="B85" t="str">
        <f>RTD("tos.rtd", , "DESCRIPTION", "ANNA")</f>
        <v>ALEANNA INC A</v>
      </c>
      <c r="C85">
        <f>RTD("tos.rtd", , "MARK", "ANNA")</f>
        <v>2.7650000000000001</v>
      </c>
      <c r="D85">
        <f>RTD("tos.rtd", , "MARK_CHANGE", "ANNA")</f>
        <v>-9.5000000000000001E-2</v>
      </c>
      <c r="E85" t="str">
        <f>RTD("tos.rtd", , "MARK_PERCENT_CHANGE", "ANNA")</f>
        <v>-3.32%</v>
      </c>
      <c r="F85">
        <f>RTD("tos.rtd", , "VOLUME", "ANNA")</f>
        <v>89059</v>
      </c>
      <c r="G85">
        <f>RTD("tos.rtd", , "BID", "ANNA")</f>
        <v>2.76</v>
      </c>
      <c r="H85">
        <f>RTD("tos.rtd", , "ASK", "ANNA")</f>
        <v>2.81</v>
      </c>
      <c r="I85" t="str">
        <f>RTD("tos.rtd", , "MARKET_CAP", "ANNA")</f>
        <v>113 M</v>
      </c>
      <c r="J85" t="str">
        <f>RTD("tos.rtd", , "CUSTOM3", "ANNA")</f>
        <v>loading</v>
      </c>
      <c r="K85" t="str">
        <f>RTD("tos.rtd", , "CUSTOM2", "ANNA")</f>
        <v>loading</v>
      </c>
    </row>
    <row r="86" spans="1:11" x14ac:dyDescent="0.25">
      <c r="A86" t="s">
        <v>106</v>
      </c>
      <c r="B86" t="str">
        <f>RTD("tos.rtd", , "DESCRIPTION", "SATL")</f>
        <v>SATELLOGIC INC A</v>
      </c>
      <c r="C86">
        <f>RTD("tos.rtd", , "MARK", "SATL")</f>
        <v>5.9450000000000003</v>
      </c>
      <c r="D86">
        <f>RTD("tos.rtd", , "MARK_CHANGE", "SATL")</f>
        <v>0.30499999999999999</v>
      </c>
      <c r="E86" t="str">
        <f>RTD("tos.rtd", , "MARK_PERCENT_CHANGE", "SATL")</f>
        <v>+5.41%</v>
      </c>
      <c r="F86">
        <f>RTD("tos.rtd", , "VOLUME", "SATL")</f>
        <v>6227389</v>
      </c>
      <c r="G86">
        <f>RTD("tos.rtd", , "BID", "SATL")</f>
        <v>5.94</v>
      </c>
      <c r="H86">
        <f>RTD("tos.rtd", , "ASK", "SATL")</f>
        <v>5.95</v>
      </c>
      <c r="I86" t="str">
        <f>RTD("tos.rtd", , "MARKET_CAP", "SATL")</f>
        <v>881 M</v>
      </c>
      <c r="J86" t="str">
        <f>RTD("tos.rtd", , "CUSTOM3", "SATL")</f>
        <v>loading</v>
      </c>
      <c r="K86" t="str">
        <f>RTD("tos.rtd", , "CUSTOM2", "SATL")</f>
        <v>loading</v>
      </c>
    </row>
    <row r="87" spans="1:11" x14ac:dyDescent="0.25">
      <c r="A87" t="s">
        <v>57</v>
      </c>
      <c r="B87" t="str">
        <f>RTD("tos.rtd", , "DESCRIPTION", "IBRX")</f>
        <v>IMMUNITYBIO INC</v>
      </c>
      <c r="C87">
        <f>RTD("tos.rtd", , "MARK", "IBRX")</f>
        <v>8.7949999999999999</v>
      </c>
      <c r="D87">
        <f>RTD("tos.rtd", , "MARK_CHANGE", "IBRX")</f>
        <v>2.5000000000000001E-2</v>
      </c>
      <c r="E87" t="str">
        <f>RTD("tos.rtd", , "MARK_PERCENT_CHANGE", "IBRX")</f>
        <v>+0.29%</v>
      </c>
      <c r="F87">
        <f>RTD("tos.rtd", , "VOLUME", "IBRX")</f>
        <v>5279605</v>
      </c>
      <c r="G87">
        <f>RTD("tos.rtd", , "BID", "IBRX")</f>
        <v>8.7899999999999991</v>
      </c>
      <c r="H87">
        <f>RTD("tos.rtd", , "ASK", "IBRX")</f>
        <v>8.8000000000000007</v>
      </c>
      <c r="I87" t="str">
        <f>RTD("tos.rtd", , "MARKET_CAP", "IBRX")</f>
        <v>9,211 M</v>
      </c>
      <c r="J87" t="str">
        <f>RTD("tos.rtd", , "CUSTOM3", "IBRX")</f>
        <v>loading</v>
      </c>
      <c r="K87" t="str">
        <f>RTD("tos.rtd", , "CUSTOM2", "IBRX")</f>
        <v>loading</v>
      </c>
    </row>
    <row r="88" spans="1:11" x14ac:dyDescent="0.25">
      <c r="A88" t="s">
        <v>24</v>
      </c>
      <c r="B88" t="str">
        <f>RTD("tos.rtd", , "DESCRIPTION", "SLNH")</f>
        <v>SOLUNA HOLDINGS INC</v>
      </c>
      <c r="C88">
        <f>RTD("tos.rtd", , "MARK", "SLNH")</f>
        <v>1.375</v>
      </c>
      <c r="D88">
        <f>RTD("tos.rtd", , "MARK_CHANGE", "SLNH")</f>
        <v>-2.5000000000000001E-2</v>
      </c>
      <c r="E88" t="str">
        <f>RTD("tos.rtd", , "MARK_PERCENT_CHANGE", "SLNH")</f>
        <v>-1.79%</v>
      </c>
      <c r="F88">
        <f>RTD("tos.rtd", , "VOLUME", "SLNH")</f>
        <v>6286152</v>
      </c>
      <c r="G88">
        <f>RTD("tos.rtd", , "BID", "SLNH")</f>
        <v>1.37</v>
      </c>
      <c r="H88">
        <f>RTD("tos.rtd", , "ASK", "SLNH")</f>
        <v>1.38</v>
      </c>
      <c r="I88" t="str">
        <f>RTD("tos.rtd", , "MARKET_CAP", "SLNH")</f>
        <v>217 M</v>
      </c>
      <c r="J88" t="str">
        <f>RTD("tos.rtd", , "CUSTOM3", "SLNH")</f>
        <v>loading</v>
      </c>
      <c r="K88">
        <f>RTD("tos.rtd", , "CUSTOM2", "SLNH")</f>
        <v>35.549999999999997</v>
      </c>
    </row>
    <row r="89" spans="1:11" x14ac:dyDescent="0.25">
      <c r="A89" t="s">
        <v>18</v>
      </c>
      <c r="B89" t="str">
        <f>RTD("tos.rtd", , "DESCRIPTION", "BULL")</f>
        <v>WEBULL CORP A</v>
      </c>
      <c r="C89">
        <f>RTD("tos.rtd", , "MARK", "BULL")</f>
        <v>6.6589999999999998</v>
      </c>
      <c r="D89">
        <f>RTD("tos.rtd", , "MARK_CHANGE", "BULL")</f>
        <v>-9.1399999999999995E-2</v>
      </c>
      <c r="E89" t="str">
        <f>RTD("tos.rtd", , "MARK_PERCENT_CHANGE", "BULL")</f>
        <v>-1.35%</v>
      </c>
      <c r="F89">
        <f>RTD("tos.rtd", , "VOLUME", "BULL")</f>
        <v>3853436</v>
      </c>
      <c r="G89">
        <f>RTD("tos.rtd", , "BID", "BULL")</f>
        <v>6.65</v>
      </c>
      <c r="H89">
        <f>RTD("tos.rtd", , "ASK", "BULL")</f>
        <v>6.66</v>
      </c>
      <c r="I89" t="str">
        <f>RTD("tos.rtd", , "MARKET_CAP", "BULL")</f>
        <v>3,541 M</v>
      </c>
      <c r="J89" t="str">
        <f>RTD("tos.rtd", , "CUSTOM3", "BULL")</f>
        <v>loading</v>
      </c>
      <c r="K89" t="str">
        <f>RTD("tos.rtd", , "CUSTOM2", "BULL")</f>
        <v>loading</v>
      </c>
    </row>
    <row r="90" spans="1:11" x14ac:dyDescent="0.25">
      <c r="A90" t="s">
        <v>107</v>
      </c>
      <c r="B90" t="str">
        <f>RTD("tos.rtd", , "DESCRIPTION", "LAC")</f>
        <v>LITHIUM AMERS CORP</v>
      </c>
      <c r="C90">
        <f>RTD("tos.rtd", , "MARK", "LAC")</f>
        <v>3.86</v>
      </c>
      <c r="D90">
        <f>RTD("tos.rtd", , "MARK_CHANGE", "LAC")</f>
        <v>0.09</v>
      </c>
      <c r="E90" t="str">
        <f>RTD("tos.rtd", , "MARK_PERCENT_CHANGE", "LAC")</f>
        <v>+2.39%</v>
      </c>
      <c r="F90">
        <f>RTD("tos.rtd", , "VOLUME", "LAC")</f>
        <v>4234360</v>
      </c>
      <c r="G90">
        <f>RTD("tos.rtd", , "BID", "LAC")</f>
        <v>3.86</v>
      </c>
      <c r="H90">
        <f>RTD("tos.rtd", , "ASK", "LAC")</f>
        <v>3.87</v>
      </c>
      <c r="I90" t="str">
        <f>RTD("tos.rtd", , "MARKET_CAP", "LAC")</f>
        <v>1,355 M</v>
      </c>
      <c r="J90" t="str">
        <f>RTD("tos.rtd", , "CUSTOM3", "LAC")</f>
        <v>loading</v>
      </c>
      <c r="K90" t="str">
        <f>RTD("tos.rtd", , "CUSTOM2", "LAC")</f>
        <v>loading</v>
      </c>
    </row>
    <row r="91" spans="1:11" x14ac:dyDescent="0.25">
      <c r="A91" t="s">
        <v>108</v>
      </c>
      <c r="B91" t="str">
        <f>RTD("tos.rtd", , "DESCRIPTION", "JZXN")</f>
        <v>JIUZI HLDGS INC</v>
      </c>
      <c r="C91">
        <f>RTD("tos.rtd", , "MARK", "JZXN")</f>
        <v>1.04</v>
      </c>
      <c r="D91">
        <f>RTD("tos.rtd", , "MARK_CHANGE", "JZXN")</f>
        <v>-0.05</v>
      </c>
      <c r="E91" t="str">
        <f>RTD("tos.rtd", , "MARK_PERCENT_CHANGE", "JZXN")</f>
        <v>-4.59%</v>
      </c>
      <c r="F91">
        <f>RTD("tos.rtd", , "VOLUME", "JZXN")</f>
        <v>71376</v>
      </c>
      <c r="G91">
        <f>RTD("tos.rtd", , "BID", "JZXN")</f>
        <v>1.03</v>
      </c>
      <c r="H91">
        <f>RTD("tos.rtd", , "ASK", "JZXN")</f>
        <v>1.05</v>
      </c>
      <c r="I91" t="str">
        <f>RTD("tos.rtd", , "MARKET_CAP", "JZXN")</f>
        <v>1.4 M</v>
      </c>
      <c r="J91" t="str">
        <f>RTD("tos.rtd", , "CUSTOM3", "JZXN")</f>
        <v>loading</v>
      </c>
      <c r="K91" t="str">
        <f>RTD("tos.rtd", , "CUSTOM2", "JZXN")</f>
        <v>loading</v>
      </c>
    </row>
    <row r="92" spans="1:11" x14ac:dyDescent="0.25">
      <c r="A92" t="s">
        <v>109</v>
      </c>
      <c r="B92" t="str">
        <f>RTD("tos.rtd", , "DESCRIPTION", "ORBS")</f>
        <v>EIGHTCO HLDGS INC EQ</v>
      </c>
      <c r="C92">
        <f>RTD("tos.rtd", , "MARK", "ORBS")</f>
        <v>0.69140000000000001</v>
      </c>
      <c r="D92">
        <f>RTD("tos.rtd", , "MARK_CHANGE", "ORBS")</f>
        <v>-8.5000000000000006E-3</v>
      </c>
      <c r="E92" t="str">
        <f>RTD("tos.rtd", , "MARK_PERCENT_CHANGE", "ORBS")</f>
        <v>-1.21%</v>
      </c>
      <c r="F92">
        <f>RTD("tos.rtd", , "VOLUME", "ORBS")</f>
        <v>6428889</v>
      </c>
      <c r="G92">
        <f>RTD("tos.rtd", , "BID", "ORBS")</f>
        <v>0.69140000000000001</v>
      </c>
      <c r="H92">
        <f>RTD("tos.rtd", , "ASK", "ORBS")</f>
        <v>0.6915</v>
      </c>
      <c r="I92" t="str">
        <f>RTD("tos.rtd", , "MARKET_CAP", "ORBS")</f>
        <v>268 M</v>
      </c>
      <c r="J92" t="str">
        <f>RTD("tos.rtd", , "CUSTOM3", "ORBS")</f>
        <v>loading</v>
      </c>
      <c r="K92">
        <f>RTD("tos.rtd", , "CUSTOM2", "ORBS")</f>
        <v>55.852600000000002</v>
      </c>
    </row>
    <row r="93" spans="1:11" x14ac:dyDescent="0.25">
      <c r="A93" t="s">
        <v>59</v>
      </c>
      <c r="B93" t="str">
        <f>RTD("tos.rtd", , "DESCRIPTION", "NUAI")</f>
        <v>NEW ERA EN &amp; DIG</v>
      </c>
      <c r="C93">
        <f>RTD("tos.rtd", , "MARK", "NUAI")</f>
        <v>6.5650000000000004</v>
      </c>
      <c r="D93">
        <f>RTD("tos.rtd", , "MARK_CHANGE", "NUAI")</f>
        <v>0.42499999999999999</v>
      </c>
      <c r="E93" t="str">
        <f>RTD("tos.rtd", , "MARK_PERCENT_CHANGE", "NUAI")</f>
        <v>+6.92%</v>
      </c>
      <c r="F93">
        <f>RTD("tos.rtd", , "VOLUME", "NUAI")</f>
        <v>5291248</v>
      </c>
      <c r="G93">
        <f>RTD("tos.rtd", , "BID", "NUAI")</f>
        <v>6.56</v>
      </c>
      <c r="H93">
        <f>RTD("tos.rtd", , "ASK", "NUAI")</f>
        <v>6.57</v>
      </c>
      <c r="I93" t="str">
        <f>RTD("tos.rtd", , "MARKET_CAP", "NUAI")</f>
        <v>665 M</v>
      </c>
      <c r="J93" t="str">
        <f>RTD("tos.rtd", , "CUSTOM3", "NUAI")</f>
        <v>loading</v>
      </c>
      <c r="K93" t="str">
        <f>RTD("tos.rtd", , "CUSTOM2", "NUAI")</f>
        <v>loading</v>
      </c>
    </row>
    <row r="94" spans="1:11" x14ac:dyDescent="0.25">
      <c r="A94" t="s">
        <v>110</v>
      </c>
      <c r="B94" t="str">
        <f>RTD("tos.rtd", , "DESCRIPTION", "TE")</f>
        <v>T1 ENERGY INC</v>
      </c>
      <c r="C94">
        <f>RTD("tos.rtd", , "MARK", "TE")</f>
        <v>9.5500000000000007</v>
      </c>
      <c r="D94">
        <f>RTD("tos.rtd", , "MARK_CHANGE", "TE")</f>
        <v>0.67</v>
      </c>
      <c r="E94" t="str">
        <f>RTD("tos.rtd", , "MARK_PERCENT_CHANGE", "TE")</f>
        <v>+7.55%</v>
      </c>
      <c r="F94">
        <f>RTD("tos.rtd", , "VOLUME", "TE")</f>
        <v>20299522</v>
      </c>
      <c r="G94">
        <f>RTD("tos.rtd", , "BID", "TE")</f>
        <v>9.5500000000000007</v>
      </c>
      <c r="H94">
        <f>RTD("tos.rtd", , "ASK", "TE")</f>
        <v>9.56</v>
      </c>
      <c r="I94" t="str">
        <f>RTD("tos.rtd", , "MARKET_CAP", "TE")</f>
        <v>2,667 M</v>
      </c>
      <c r="J94" t="str">
        <f>RTD("tos.rtd", , "CUSTOM3", "TE")</f>
        <v>loading</v>
      </c>
      <c r="K94" t="str">
        <f>RTD("tos.rtd", , "CUSTOM2", "TE")</f>
        <v>loading</v>
      </c>
    </row>
    <row r="95" spans="1:11" x14ac:dyDescent="0.25">
      <c r="A95" t="s">
        <v>111</v>
      </c>
      <c r="B95" t="str">
        <f>RTD("tos.rtd", , "DESCRIPTION", "SRFM")</f>
        <v>SURF AIR MOBILITY IN Equity</v>
      </c>
      <c r="C95">
        <f>RTD("tos.rtd", , "MARK", "SRFM")</f>
        <v>1.1899</v>
      </c>
      <c r="D95">
        <f>RTD("tos.rtd", , "MARK_CHANGE", "SRFM")</f>
        <v>0.25990000000000002</v>
      </c>
      <c r="E95" t="str">
        <f>RTD("tos.rtd", , "MARK_PERCENT_CHANGE", "SRFM")</f>
        <v>+27.95%</v>
      </c>
      <c r="F95">
        <f>RTD("tos.rtd", , "VOLUME", "SRFM")</f>
        <v>35480976</v>
      </c>
      <c r="G95">
        <f>RTD("tos.rtd", , "BID", "SRFM")</f>
        <v>1.18</v>
      </c>
      <c r="H95">
        <f>RTD("tos.rtd", , "ASK", "SRFM")</f>
        <v>1.19</v>
      </c>
      <c r="I95" t="str">
        <f>RTD("tos.rtd", , "MARKET_CAP", "SRFM")</f>
        <v>119 M</v>
      </c>
      <c r="J95">
        <f>RTD("tos.rtd", , "CUSTOM3", "SRFM")</f>
        <v>-48.005699999999997</v>
      </c>
      <c r="K95">
        <f>RTD("tos.rtd", , "CUSTOM2", "SRFM")</f>
        <v>61.570799999999998</v>
      </c>
    </row>
    <row r="96" spans="1:11" x14ac:dyDescent="0.25">
      <c r="A96" t="s">
        <v>112</v>
      </c>
      <c r="B96" t="str">
        <f>RTD("tos.rtd", , "DESCRIPTION", "UAVS")</f>
        <v>AGEAGLE AERIAL SYSTE</v>
      </c>
      <c r="C96">
        <f>RTD("tos.rtd", , "MARK", "UAVS")</f>
        <v>0.88744999999999996</v>
      </c>
      <c r="D96">
        <f>RTD("tos.rtd", , "MARK_CHANGE", "UAVS")</f>
        <v>2.545E-2</v>
      </c>
      <c r="E96" t="str">
        <f>RTD("tos.rtd", , "MARK_PERCENT_CHANGE", "UAVS")</f>
        <v>+2.95%</v>
      </c>
      <c r="F96">
        <f>RTD("tos.rtd", , "VOLUME", "UAVS")</f>
        <v>616475</v>
      </c>
      <c r="G96">
        <f>RTD("tos.rtd", , "BID", "UAVS")</f>
        <v>0.88500000000000001</v>
      </c>
      <c r="H96">
        <f>RTD("tos.rtd", , "ASK", "UAVS")</f>
        <v>0.88990000000000002</v>
      </c>
      <c r="I96" t="str">
        <f>RTD("tos.rtd", , "MARKET_CAP", "UAVS")</f>
        <v>52 M</v>
      </c>
      <c r="J96" t="str">
        <f>RTD("tos.rtd", , "CUSTOM3", "UAVS")</f>
        <v>loading</v>
      </c>
      <c r="K96" t="str">
        <f>RTD("tos.rtd", , "CUSTOM2", "UAVS")</f>
        <v>loading</v>
      </c>
    </row>
    <row r="97" spans="1:11" x14ac:dyDescent="0.25">
      <c r="A97" t="s">
        <v>113</v>
      </c>
      <c r="B97" t="str">
        <f>RTD("tos.rtd", , "DESCRIPTION", "TRX")</f>
        <v>TRX GOLD CORP</v>
      </c>
      <c r="C97">
        <f>RTD("tos.rtd", , "MARK", "TRX")</f>
        <v>0.84209999999999996</v>
      </c>
      <c r="D97">
        <f>RTD("tos.rtd", , "MARK_CHANGE", "TRX")</f>
        <v>6.9999999999999999E-4</v>
      </c>
      <c r="E97" t="str">
        <f>RTD("tos.rtd", , "MARK_PERCENT_CHANGE", "TRX")</f>
        <v>+0.08%</v>
      </c>
      <c r="F97">
        <f>RTD("tos.rtd", , "VOLUME", "TRX")</f>
        <v>630211</v>
      </c>
      <c r="G97">
        <f>RTD("tos.rtd", , "BID", "TRX")</f>
        <v>0.84030000000000005</v>
      </c>
      <c r="H97">
        <f>RTD("tos.rtd", , "ASK", "TRX")</f>
        <v>0.84209999999999996</v>
      </c>
      <c r="I97" t="str">
        <f>RTD("tos.rtd", , "MARKET_CAP", "TRX")</f>
        <v>274 M</v>
      </c>
      <c r="J97" t="str">
        <f>RTD("tos.rtd", , "CUSTOM3", "TRX")</f>
        <v>loading</v>
      </c>
      <c r="K97" t="str">
        <f>RTD("tos.rtd", , "CUSTOM2", "TRX")</f>
        <v>loading</v>
      </c>
    </row>
    <row r="98" spans="1:11" x14ac:dyDescent="0.25">
      <c r="A98" t="s">
        <v>32</v>
      </c>
      <c r="B98" t="str">
        <f>RTD("tos.rtd", , "DESCRIPTION", "HIVE")</f>
        <v>HIVE DIGITAL TECHNOL</v>
      </c>
      <c r="C98">
        <f>RTD("tos.rtd", , "MARK", "HIVE")</f>
        <v>3.6549999999999998</v>
      </c>
      <c r="D98">
        <f>RTD("tos.rtd", , "MARK_CHANGE", "HIVE")</f>
        <v>-0.105</v>
      </c>
      <c r="E98" t="str">
        <f>RTD("tos.rtd", , "MARK_PERCENT_CHANGE", "HIVE")</f>
        <v>-2.79%</v>
      </c>
      <c r="F98">
        <f>RTD("tos.rtd", , "VOLUME", "HIVE")</f>
        <v>11113519</v>
      </c>
      <c r="G98">
        <f>RTD("tos.rtd", , "BID", "HIVE")</f>
        <v>3.65</v>
      </c>
      <c r="H98">
        <f>RTD("tos.rtd", , "ASK", "HIVE")</f>
        <v>3.66</v>
      </c>
      <c r="I98" t="str">
        <f>RTD("tos.rtd", , "MARKET_CAP", "HIVE")</f>
        <v>977 M</v>
      </c>
      <c r="J98" t="str">
        <f>RTD("tos.rtd", , "CUSTOM3", "HIVE")</f>
        <v>loading</v>
      </c>
      <c r="K98" t="str">
        <f>RTD("tos.rtd", , "CUSTOM2", "HIVE")</f>
        <v>loading</v>
      </c>
    </row>
    <row r="99" spans="1:11" x14ac:dyDescent="0.25">
      <c r="A99" t="s">
        <v>114</v>
      </c>
      <c r="B99" t="str">
        <f>RTD("tos.rtd", , "DESCRIPTION", "SOUN")</f>
        <v>SOUNDHOUND AI INC A</v>
      </c>
      <c r="C99">
        <f>RTD("tos.rtd", , "MARK", "SOUN")</f>
        <v>6.4550000000000001</v>
      </c>
      <c r="D99">
        <f>RTD("tos.rtd", , "MARK_CHANGE", "SOUN")</f>
        <v>5.5E-2</v>
      </c>
      <c r="E99" t="str">
        <f>RTD("tos.rtd", , "MARK_PERCENT_CHANGE", "SOUN")</f>
        <v>+0.86%</v>
      </c>
      <c r="F99">
        <f>RTD("tos.rtd", , "VOLUME", "SOUN")</f>
        <v>9364859</v>
      </c>
      <c r="G99">
        <f>RTD("tos.rtd", , "BID", "SOUN")</f>
        <v>6.45</v>
      </c>
      <c r="H99">
        <f>RTD("tos.rtd", , "ASK", "SOUN")</f>
        <v>6.46</v>
      </c>
      <c r="I99" t="str">
        <f>RTD("tos.rtd", , "MARKET_CAP", "SOUN")</f>
        <v>2,794 M</v>
      </c>
      <c r="J99" t="str">
        <f>RTD("tos.rtd", , "CUSTOM3", "SOUN")</f>
        <v>loading</v>
      </c>
      <c r="K99" t="str">
        <f>RTD("tos.rtd", , "CUSTOM2", "SOUN")</f>
        <v>loading</v>
      </c>
    </row>
    <row r="100" spans="1:11" x14ac:dyDescent="0.25">
      <c r="A100" t="s">
        <v>115</v>
      </c>
      <c r="B100" t="str">
        <f>RTD("tos.rtd", , "DESCRIPTION", "BTBT")</f>
        <v>BIT DIGITAL INC.</v>
      </c>
      <c r="C100">
        <f>RTD("tos.rtd", , "MARK", "BTBT")</f>
        <v>1.8049999999999999</v>
      </c>
      <c r="D100">
        <f>RTD("tos.rtd", , "MARK_CHANGE", "BTBT")</f>
        <v>-2.5000000000000001E-2</v>
      </c>
      <c r="E100" t="str">
        <f>RTD("tos.rtd", , "MARK_PERCENT_CHANGE", "BTBT")</f>
        <v>-1.37%</v>
      </c>
      <c r="F100">
        <f>RTD("tos.rtd", , "VOLUME", "BTBT")</f>
        <v>9727530</v>
      </c>
      <c r="G100">
        <f>RTD("tos.rtd", , "BID", "BTBT")</f>
        <v>1.8</v>
      </c>
      <c r="H100">
        <f>RTD("tos.rtd", , "ASK", "BTBT")</f>
        <v>1.81</v>
      </c>
      <c r="I100" t="str">
        <f>RTD("tos.rtd", , "MARKET_CAP", "BTBT")</f>
        <v>630 M</v>
      </c>
      <c r="J100" t="str">
        <f>RTD("tos.rtd", , "CUSTOM3", "BTBT")</f>
        <v>loading</v>
      </c>
      <c r="K100" t="str">
        <f>RTD("tos.rtd", , "CUSTOM2", "BTBT")</f>
        <v>loading</v>
      </c>
    </row>
    <row r="101" spans="1:11" x14ac:dyDescent="0.25">
      <c r="A101" t="s">
        <v>116</v>
      </c>
      <c r="B101" t="str">
        <f>RTD("tos.rtd", , "DESCRIPTION", "OPEN")</f>
        <v>OPENDOOR TECHNOLOGIE A</v>
      </c>
      <c r="C101">
        <f>RTD("tos.rtd", , "MARK", "OPEN")</f>
        <v>4.7249999999999996</v>
      </c>
      <c r="D101">
        <f>RTD("tos.rtd", , "MARK_CHANGE", "OPEN")</f>
        <v>0.125</v>
      </c>
      <c r="E101" t="str">
        <f>RTD("tos.rtd", , "MARK_PERCENT_CHANGE", "OPEN")</f>
        <v>+2.72%</v>
      </c>
      <c r="F101">
        <f>RTD("tos.rtd", , "VOLUME", "OPEN")</f>
        <v>45875155</v>
      </c>
      <c r="G101">
        <f>RTD("tos.rtd", , "BID", "OPEN")</f>
        <v>4.72</v>
      </c>
      <c r="H101">
        <f>RTD("tos.rtd", , "ASK", "OPEN")</f>
        <v>4.7300000000000004</v>
      </c>
      <c r="I101" t="str">
        <f>RTD("tos.rtd", , "MARKET_CAP", "OPEN")</f>
        <v>4,558 M</v>
      </c>
      <c r="J101" t="str">
        <f>RTD("tos.rtd", , "CUSTOM3", "OPEN")</f>
        <v>loading</v>
      </c>
      <c r="K101" t="str">
        <f>RTD("tos.rtd", , "CUSTOM2", "OPEN")</f>
        <v>loading</v>
      </c>
    </row>
    <row r="102" spans="1:11" x14ac:dyDescent="0.25">
      <c r="A102" t="s">
        <v>117</v>
      </c>
      <c r="B102" t="str">
        <f>RTD("tos.rtd", , "DESCRIPTION", "EOSE")</f>
        <v>EOS ENERGY ENTERPRIS A</v>
      </c>
      <c r="C102">
        <f>RTD("tos.rtd", , "MARK", "EOSE")</f>
        <v>5.7549999999999999</v>
      </c>
      <c r="D102">
        <f>RTD("tos.rtd", , "MARK_CHANGE", "EOSE")</f>
        <v>-0.33500000000000002</v>
      </c>
      <c r="E102" t="str">
        <f>RTD("tos.rtd", , "MARK_PERCENT_CHANGE", "EOSE")</f>
        <v>-5.50%</v>
      </c>
      <c r="F102">
        <f>RTD("tos.rtd", , "VOLUME", "EOSE")</f>
        <v>17637740</v>
      </c>
      <c r="G102">
        <f>RTD("tos.rtd", , "BID", "EOSE")</f>
        <v>5.75</v>
      </c>
      <c r="H102">
        <f>RTD("tos.rtd", , "ASK", "EOSE")</f>
        <v>5.76</v>
      </c>
      <c r="I102" t="str">
        <f>RTD("tos.rtd", , "MARKET_CAP", "EOSE")</f>
        <v>1,954 M</v>
      </c>
      <c r="J102" t="str">
        <f>RTD("tos.rtd", , "CUSTOM3", "EOSE")</f>
        <v>loading</v>
      </c>
      <c r="K102" t="str">
        <f>RTD("tos.rtd", , "CUSTOM2", "EOSE")</f>
        <v>loading</v>
      </c>
    </row>
    <row r="103" spans="1:11" x14ac:dyDescent="0.25">
      <c r="A103" t="s">
        <v>118</v>
      </c>
      <c r="B103" t="str">
        <f>RTD("tos.rtd", , "DESCRIPTION", "RR")</f>
        <v>RICHTECH ROBOTICS IN B</v>
      </c>
      <c r="C103">
        <f>RTD("tos.rtd", , "MARK", "RR")</f>
        <v>2.0350000000000001</v>
      </c>
      <c r="D103">
        <f>RTD("tos.rtd", , "MARK_CHANGE", "RR")</f>
        <v>5.5E-2</v>
      </c>
      <c r="E103" t="str">
        <f>RTD("tos.rtd", , "MARK_PERCENT_CHANGE", "RR")</f>
        <v>+2.78%</v>
      </c>
      <c r="F103">
        <f>RTD("tos.rtd", , "VOLUME", "RR")</f>
        <v>6729357</v>
      </c>
      <c r="G103">
        <f>RTD("tos.rtd", , "BID", "RR")</f>
        <v>2.0299999999999998</v>
      </c>
      <c r="H103">
        <f>RTD("tos.rtd", , "ASK", "RR")</f>
        <v>2.04</v>
      </c>
      <c r="I103" t="str">
        <f>RTD("tos.rtd", , "MARKET_CAP", "RR")</f>
        <v>455 M</v>
      </c>
      <c r="J103" t="str">
        <f>RTD("tos.rtd", , "CUSTOM3", "RR")</f>
        <v>loading</v>
      </c>
      <c r="K103" t="str">
        <f>RTD("tos.rtd", , "CUSTOM2", "RR")</f>
        <v>loading</v>
      </c>
    </row>
    <row r="104" spans="1:11" x14ac:dyDescent="0.25">
      <c r="A104" t="s">
        <v>119</v>
      </c>
      <c r="B104" t="str">
        <f>RTD("tos.rtd", , "DESCRIPTION", "PLUG")</f>
        <v>PLUG PWR INC</v>
      </c>
      <c r="C104">
        <f>RTD("tos.rtd", , "MARK", "PLUG")</f>
        <v>2.7709999999999999</v>
      </c>
      <c r="D104">
        <f>RTD("tos.rtd", , "MARK_CHANGE", "PLUG")</f>
        <v>0.18110000000000001</v>
      </c>
      <c r="E104" t="str">
        <f>RTD("tos.rtd", , "MARK_PERCENT_CHANGE", "PLUG")</f>
        <v>+6.99%</v>
      </c>
      <c r="F104">
        <f>RTD("tos.rtd", , "VOLUME", "PLUG")</f>
        <v>35346098</v>
      </c>
      <c r="G104">
        <f>RTD("tos.rtd", , "BID", "PLUG")</f>
        <v>2.77</v>
      </c>
      <c r="H104">
        <f>RTD("tos.rtd", , "ASK", "PLUG")</f>
        <v>2.78</v>
      </c>
      <c r="I104" t="str">
        <f>RTD("tos.rtd", , "MARKET_CAP", "PLUG")</f>
        <v>3,866 M</v>
      </c>
      <c r="J104" t="str">
        <f>RTD("tos.rtd", , "CUSTOM3", "PLUG")</f>
        <v>loading</v>
      </c>
      <c r="K104" t="str">
        <f>RTD("tos.rtd", , "CUSTOM2", "PLUG")</f>
        <v>loading</v>
      </c>
    </row>
    <row r="105" spans="1:11" x14ac:dyDescent="0.25">
      <c r="A105" t="s">
        <v>120</v>
      </c>
      <c r="B105" t="str">
        <f>RTD("tos.rtd", , "DESCRIPTION", "JOBY")</f>
        <v>JOBY AVIATION INC A</v>
      </c>
      <c r="C105">
        <f>RTD("tos.rtd", , "MARK", "JOBY")</f>
        <v>8.9499999999999993</v>
      </c>
      <c r="D105">
        <f>RTD("tos.rtd", , "MARK_CHANGE", "JOBY")</f>
        <v>0.32</v>
      </c>
      <c r="E105" t="str">
        <f>RTD("tos.rtd", , "MARK_PERCENT_CHANGE", "JOBY")</f>
        <v>+3.71%</v>
      </c>
      <c r="F105">
        <f>RTD("tos.rtd", , "VOLUME", "JOBY")</f>
        <v>33157373</v>
      </c>
      <c r="G105">
        <f>RTD("tos.rtd", , "BID", "JOBY")</f>
        <v>8.9499999999999993</v>
      </c>
      <c r="H105">
        <f>RTD("tos.rtd", , "ASK", "JOBY")</f>
        <v>8.9600000000000009</v>
      </c>
      <c r="I105" t="str">
        <f>RTD("tos.rtd", , "MARKET_CAP", "JOBY")</f>
        <v>8,804 M</v>
      </c>
      <c r="J105" t="str">
        <f>RTD("tos.rtd", , "CUSTOM3", "JOBY")</f>
        <v>loading</v>
      </c>
      <c r="K105" t="str">
        <f>RTD("tos.rtd", , "CUSTOM2", "JOBY")</f>
        <v>loading</v>
      </c>
    </row>
    <row r="106" spans="1:11" x14ac:dyDescent="0.25">
      <c r="A106" t="s">
        <v>121</v>
      </c>
      <c r="B106" t="str">
        <f>RTD("tos.rtd", , "DESCRIPTION", "ABTC")</f>
        <v>AMERICAN BITCOIN COR A</v>
      </c>
      <c r="C106">
        <f>RTD("tos.rtd", , "MARK", "ABTC")</f>
        <v>0.67705000000000004</v>
      </c>
      <c r="D106">
        <f>RTD("tos.rtd", , "MARK_CHANGE", "ABTC")</f>
        <v>-3.7650000000000003E-2</v>
      </c>
      <c r="E106" t="str">
        <f>RTD("tos.rtd", , "MARK_PERCENT_CHANGE", "ABTC")</f>
        <v>-5.27%</v>
      </c>
      <c r="F106">
        <f>RTD("tos.rtd", , "VOLUME", "ABTC")</f>
        <v>6760697</v>
      </c>
      <c r="G106">
        <f>RTD("tos.rtd", , "BID", "ABTC")</f>
        <v>0.67700000000000005</v>
      </c>
      <c r="H106">
        <f>RTD("tos.rtd", , "ASK", "ABTC")</f>
        <v>0.67710000000000004</v>
      </c>
      <c r="I106" t="str">
        <f>RTD("tos.rtd", , "MARKET_CAP", "ABTC")</f>
        <v>720 M</v>
      </c>
      <c r="J106" t="str">
        <f>RTD("tos.rtd", , "CUSTOM3", "ABTC")</f>
        <v>loading</v>
      </c>
      <c r="K106" t="str">
        <f>RTD("tos.rtd", , "CUSTOM2", "ABTC")</f>
        <v>loading</v>
      </c>
    </row>
    <row r="107" spans="1:11" x14ac:dyDescent="0.25">
      <c r="A107" t="s">
        <v>122</v>
      </c>
      <c r="B107" t="str">
        <f>RTD("tos.rtd", , "DESCRIPTION", "ACHR")</f>
        <v>ARCHER AVIATION INC A</v>
      </c>
      <c r="C107">
        <f>RTD("tos.rtd", , "MARK", "ACHR")</f>
        <v>4.7149999999999999</v>
      </c>
      <c r="D107">
        <f>RTD("tos.rtd", , "MARK_CHANGE", "ACHR")</f>
        <v>3.5000000000000003E-2</v>
      </c>
      <c r="E107" t="str">
        <f>RTD("tos.rtd", , "MARK_PERCENT_CHANGE", "ACHR")</f>
        <v>+0.75%</v>
      </c>
      <c r="F107">
        <f>RTD("tos.rtd", , "VOLUME", "ACHR")</f>
        <v>19769516</v>
      </c>
      <c r="G107">
        <f>RTD("tos.rtd", , "BID", "ACHR")</f>
        <v>4.71</v>
      </c>
      <c r="H107">
        <f>RTD("tos.rtd", , "ASK", "ACHR")</f>
        <v>4.72</v>
      </c>
      <c r="I107" t="str">
        <f>RTD("tos.rtd", , "MARKET_CAP", "ACHR")</f>
        <v>3,597 M</v>
      </c>
      <c r="J107" t="str">
        <f>RTD("tos.rtd", , "CUSTOM3", "ACHR")</f>
        <v>loading</v>
      </c>
      <c r="K107" t="str">
        <f>RTD("tos.rtd", , "CUSTOM2", "ACHR")</f>
        <v>loading</v>
      </c>
    </row>
    <row r="108" spans="1:11" x14ac:dyDescent="0.25">
      <c r="A108" t="s">
        <v>123</v>
      </c>
      <c r="B108" t="str">
        <f>RTD("tos.rtd", , "DESCRIPTION", "ADSLF")</f>
        <v>ANDEAN SILVER LIMITE</v>
      </c>
      <c r="C108">
        <f>RTD("tos.rtd", , "MARK", "ADSLF")</f>
        <v>1.335</v>
      </c>
      <c r="D108">
        <f>RTD("tos.rtd", , "MARK_CHANGE", "ADSLF")</f>
        <v>3.5000000000000003E-2</v>
      </c>
      <c r="E108" t="str">
        <f>RTD("tos.rtd", , "MARK_PERCENT_CHANGE", "ADSLF")</f>
        <v>+2.69%</v>
      </c>
      <c r="F108">
        <f>RTD("tos.rtd", , "VOLUME", "ADSLF")</f>
        <v>25040</v>
      </c>
      <c r="G108">
        <f>RTD("tos.rtd", , "BID", "ADSLF")</f>
        <v>1.3</v>
      </c>
      <c r="H108">
        <f>RTD("tos.rtd", , "ASK", "ADSLF")</f>
        <v>1.37</v>
      </c>
      <c r="I108" t="str">
        <f>RTD("tos.rtd", , "MARKET_CAP", "ADSLF")</f>
        <v>285 M</v>
      </c>
      <c r="J108" t="str">
        <f>RTD("tos.rtd", , "CUSTOM3", "ADSLF")</f>
        <v>loading</v>
      </c>
      <c r="K108" t="str">
        <f>RTD("tos.rtd", , "CUSTOM2", "ADSLF")</f>
        <v>loading</v>
      </c>
    </row>
    <row r="109" spans="1:11" x14ac:dyDescent="0.25">
      <c r="A109" t="s">
        <v>39</v>
      </c>
      <c r="B109" t="str">
        <f>RTD("tos.rtd", , "DESCRIPTION", "CYH")</f>
        <v>COMMUNITY HEALTH SYS</v>
      </c>
      <c r="C109">
        <f>RTD("tos.rtd", , "MARK", "CYH")</f>
        <v>3.37</v>
      </c>
      <c r="D109">
        <f>RTD("tos.rtd", , "MARK_CHANGE", "CYH")</f>
        <v>-0.02</v>
      </c>
      <c r="E109" t="str">
        <f>RTD("tos.rtd", , "MARK_PERCENT_CHANGE", "CYH")</f>
        <v>-0.59%</v>
      </c>
      <c r="F109">
        <f>RTD("tos.rtd", , "VOLUME", "CYH")</f>
        <v>523429</v>
      </c>
      <c r="G109">
        <f>RTD("tos.rtd", , "BID", "CYH")</f>
        <v>3.36</v>
      </c>
      <c r="H109">
        <f>RTD("tos.rtd", , "ASK", "CYH")</f>
        <v>3.37</v>
      </c>
      <c r="I109" t="str">
        <f>RTD("tos.rtd", , "MARKET_CAP", "CYH")</f>
        <v>475 M</v>
      </c>
      <c r="J109" t="str">
        <f>RTD("tos.rtd", , "CUSTOM3", "CYH")</f>
        <v>loading</v>
      </c>
      <c r="K109" t="str">
        <f>RTD("tos.rtd", , "CUSTOM2", "CYH")</f>
        <v>loading</v>
      </c>
    </row>
    <row r="110" spans="1:11" x14ac:dyDescent="0.25">
      <c r="A110" t="s">
        <v>124</v>
      </c>
      <c r="B110" t="str">
        <f>RTD("tos.rtd", , "DESCRIPTION", "ENVX")</f>
        <v>ENOVIX CORP</v>
      </c>
      <c r="C110">
        <f>RTD("tos.rtd", , "MARK", "ENVX")</f>
        <v>6.1749999999999998</v>
      </c>
      <c r="D110">
        <f>RTD("tos.rtd", , "MARK_CHANGE", "ENVX")</f>
        <v>7.4999999999999997E-2</v>
      </c>
      <c r="E110" t="str">
        <f>RTD("tos.rtd", , "MARK_PERCENT_CHANGE", "ENVX")</f>
        <v>+1.23%</v>
      </c>
      <c r="F110">
        <f>RTD("tos.rtd", , "VOLUME", "ENVX")</f>
        <v>2261858</v>
      </c>
      <c r="G110">
        <f>RTD("tos.rtd", , "BID", "ENVX")</f>
        <v>6.17</v>
      </c>
      <c r="H110">
        <f>RTD("tos.rtd", , "ASK", "ENVX")</f>
        <v>6.18</v>
      </c>
      <c r="I110" t="str">
        <f>RTD("tos.rtd", , "MARKET_CAP", "ENVX")</f>
        <v>1,347 M</v>
      </c>
      <c r="J110" t="str">
        <f>RTD("tos.rtd", , "CUSTOM3", "ENVX")</f>
        <v>loading</v>
      </c>
      <c r="K110" t="str">
        <f>RTD("tos.rtd", , "CUSTOM2", "ENVX")</f>
        <v>loading</v>
      </c>
    </row>
    <row r="111" spans="1:11" x14ac:dyDescent="0.25">
      <c r="A111" t="s">
        <v>125</v>
      </c>
      <c r="B111" t="str">
        <f>RTD("tos.rtd", , "DESCRIPTION", "EONR")</f>
        <v>EON RESOURCES INC A</v>
      </c>
      <c r="C111">
        <f>RTD("tos.rtd", , "MARK", "EONR")</f>
        <v>0.45040000000000002</v>
      </c>
      <c r="D111">
        <f>RTD("tos.rtd", , "MARK_CHANGE", "EONR")</f>
        <v>-1.4800000000000001E-2</v>
      </c>
      <c r="E111" t="str">
        <f>RTD("tos.rtd", , "MARK_PERCENT_CHANGE", "EONR")</f>
        <v>-3.18%</v>
      </c>
      <c r="F111">
        <f>RTD("tos.rtd", , "VOLUME", "EONR")</f>
        <v>228295</v>
      </c>
      <c r="G111">
        <f>RTD("tos.rtd", , "BID", "EONR")</f>
        <v>0.45029999999999998</v>
      </c>
      <c r="H111">
        <f>RTD("tos.rtd", , "ASK", "EONR")</f>
        <v>0.4592</v>
      </c>
      <c r="I111" t="str">
        <f>RTD("tos.rtd", , "MARKET_CAP", "EONR")</f>
        <v>23 M</v>
      </c>
      <c r="J111" t="str">
        <f>RTD("tos.rtd", , "CUSTOM3", "EONR")</f>
        <v>loading</v>
      </c>
      <c r="K111" t="str">
        <f>RTD("tos.rtd", , "CUSTOM2", "EONR")</f>
        <v>loading</v>
      </c>
    </row>
    <row r="112" spans="1:11" x14ac:dyDescent="0.25">
      <c r="A112" t="s">
        <v>126</v>
      </c>
      <c r="B112" t="str">
        <f>RTD("tos.rtd", , "DESCRIPTION", "LNVGF")</f>
        <v>LENOVO GROUP LTD</v>
      </c>
      <c r="C112">
        <f>RTD("tos.rtd", , "MARK", "LNVGF")</f>
        <v>2.9611999999999998</v>
      </c>
      <c r="D112">
        <f>RTD("tos.rtd", , "MARK_CHANGE", "LNVGF")</f>
        <v>0.11119999999999999</v>
      </c>
      <c r="E112" t="str">
        <f>RTD("tos.rtd", , "MARK_PERCENT_CHANGE", "LNVGF")</f>
        <v>+3.90%</v>
      </c>
      <c r="F112">
        <f>RTD("tos.rtd", , "VOLUME", "LNVGF")</f>
        <v>6095</v>
      </c>
      <c r="G112">
        <f>RTD("tos.rtd", , "BID", "LNVGF")</f>
        <v>2.92</v>
      </c>
      <c r="H112">
        <f>RTD("tos.rtd", , "ASK", "LNVGF")</f>
        <v>3</v>
      </c>
      <c r="I112" t="str">
        <f>RTD("tos.rtd", , "MARKET_CAP", "LNVGF")</f>
        <v>36,733 M</v>
      </c>
      <c r="J112" t="str">
        <f>RTD("tos.rtd", , "CUSTOM3", "LNVGF")</f>
        <v>loading</v>
      </c>
      <c r="K112" t="str">
        <f>RTD("tos.rtd", , "CUSTOM2", "LNVGF")</f>
        <v>loading</v>
      </c>
    </row>
    <row r="113" spans="1:11" x14ac:dyDescent="0.25">
      <c r="A113" t="s">
        <v>127</v>
      </c>
      <c r="B113" t="str">
        <f>RTD("tos.rtd", , "DESCRIPTION", "MX")</f>
        <v>MAGNACHIP SEMICONDUC</v>
      </c>
      <c r="C113">
        <f>RTD("tos.rtd", , "MARK", "MX")</f>
        <v>4.8</v>
      </c>
      <c r="D113">
        <f>RTD("tos.rtd", , "MARK_CHANGE", "MX")</f>
        <v>0.18</v>
      </c>
      <c r="E113" t="str">
        <f>RTD("tos.rtd", , "MARK_PERCENT_CHANGE", "MX")</f>
        <v>+3.90%</v>
      </c>
      <c r="F113">
        <f>RTD("tos.rtd", , "VOLUME", "MX")</f>
        <v>797360</v>
      </c>
      <c r="G113">
        <f>RTD("tos.rtd", , "BID", "MX")</f>
        <v>4.79</v>
      </c>
      <c r="H113">
        <f>RTD("tos.rtd", , "ASK", "MX")</f>
        <v>4.8099999999999996</v>
      </c>
      <c r="I113" t="str">
        <f>RTD("tos.rtd", , "MARKET_CAP", "MX")</f>
        <v>175 M</v>
      </c>
      <c r="J113">
        <f>RTD("tos.rtd", , "CUSTOM3", "MX")</f>
        <v>38.25</v>
      </c>
      <c r="K113">
        <f>RTD("tos.rtd", , "CUSTOM2", "MX")</f>
        <v>57.78</v>
      </c>
    </row>
    <row r="114" spans="1:11" x14ac:dyDescent="0.25">
      <c r="A114" t="s">
        <v>41</v>
      </c>
      <c r="B114" t="str">
        <f>RTD("tos.rtd", , "DESCRIPTION", "ROLR")</f>
        <v>HIGH ROLLER TECHNOLO</v>
      </c>
      <c r="C114">
        <f>RTD("tos.rtd", , "MARK", "ROLR")</f>
        <v>6.15</v>
      </c>
      <c r="D114">
        <f>RTD("tos.rtd", , "MARK_CHANGE", "ROLR")</f>
        <v>0.08</v>
      </c>
      <c r="E114" t="str">
        <f>RTD("tos.rtd", , "MARK_PERCENT_CHANGE", "ROLR")</f>
        <v>+1.32%</v>
      </c>
      <c r="F114">
        <f>RTD("tos.rtd", , "VOLUME", "ROLR")</f>
        <v>50177</v>
      </c>
      <c r="G114">
        <f>RTD("tos.rtd", , "BID", "ROLR")</f>
        <v>6.1</v>
      </c>
      <c r="H114">
        <f>RTD("tos.rtd", , "ASK", "ROLR")</f>
        <v>6.2</v>
      </c>
      <c r="I114" t="str">
        <f>RTD("tos.rtd", , "MARKET_CAP", "ROLR")</f>
        <v>67 M</v>
      </c>
      <c r="J114" t="str">
        <f>RTD("tos.rtd", , "CUSTOM3", "ROLR")</f>
        <v>loading</v>
      </c>
      <c r="K114" t="str">
        <f>RTD("tos.rtd", , "CUSTOM2", "ROLR")</f>
        <v>loading</v>
      </c>
    </row>
    <row r="115" spans="1:11" x14ac:dyDescent="0.25">
      <c r="A115" t="s">
        <v>47</v>
      </c>
      <c r="B115" t="str">
        <f>RTD("tos.rtd", , "DESCRIPTION", "SIDU")</f>
        <v>SIDUS SPACE INC A</v>
      </c>
      <c r="C115">
        <f>RTD("tos.rtd", , "MARK", "SIDU")</f>
        <v>2.7898999999999998</v>
      </c>
      <c r="D115">
        <f>RTD("tos.rtd", , "MARK_CHANGE", "SIDU")</f>
        <v>-8.0100000000000005E-2</v>
      </c>
      <c r="E115" t="str">
        <f>RTD("tos.rtd", , "MARK_PERCENT_CHANGE", "SIDU")</f>
        <v>-2.79%</v>
      </c>
      <c r="F115">
        <f>RTD("tos.rtd", , "VOLUME", "SIDU")</f>
        <v>5396757</v>
      </c>
      <c r="G115">
        <f>RTD("tos.rtd", , "BID", "SIDU")</f>
        <v>2.78</v>
      </c>
      <c r="H115">
        <f>RTD("tos.rtd", , "ASK", "SIDU")</f>
        <v>2.79</v>
      </c>
      <c r="I115" t="str">
        <f>RTD("tos.rtd", , "MARKET_CAP", "SIDU")</f>
        <v>272 M</v>
      </c>
      <c r="J115" t="str">
        <f>RTD("tos.rtd", , "CUSTOM3", "SIDU")</f>
        <v>loading</v>
      </c>
      <c r="K115">
        <f>RTD("tos.rtd", , "CUSTOM2", "SIDU")</f>
        <v>20.9</v>
      </c>
    </row>
    <row r="116" spans="1:11" x14ac:dyDescent="0.25">
      <c r="A116" t="s">
        <v>55</v>
      </c>
      <c r="B116" t="str">
        <f>RTD("tos.rtd", , "DESCRIPTION", "TMDE")</f>
        <v>TMD ENERGY LTD</v>
      </c>
      <c r="C116">
        <f>RTD("tos.rtd", , "MARK", "TMDE")</f>
        <v>0.74670000000000003</v>
      </c>
      <c r="D116">
        <f>RTD("tos.rtd", , "MARK_CHANGE", "TMDE")</f>
        <v>-6.2E-2</v>
      </c>
      <c r="E116" t="str">
        <f>RTD("tos.rtd", , "MARK_PERCENT_CHANGE", "TMDE")</f>
        <v>-7.67%</v>
      </c>
      <c r="F116">
        <f>RTD("tos.rtd", , "VOLUME", "TMDE")</f>
        <v>155802</v>
      </c>
      <c r="G116">
        <f>RTD("tos.rtd", , "BID", "TMDE")</f>
        <v>0.73299999999999998</v>
      </c>
      <c r="H116">
        <f>RTD("tos.rtd", , "ASK", "TMDE")</f>
        <v>0.74670000000000003</v>
      </c>
      <c r="I116" t="str">
        <f>RTD("tos.rtd", , "MARKET_CAP", "TMDE")</f>
        <v>18 M</v>
      </c>
      <c r="J116" t="str">
        <f>RTD("tos.rtd", , "CUSTOM3", "TMDE")</f>
        <v>loading</v>
      </c>
      <c r="K116" t="str">
        <f>RTD("tos.rtd", , "CUSTOM2", "TMDE")</f>
        <v>loading</v>
      </c>
    </row>
    <row r="117" spans="1:11" x14ac:dyDescent="0.25">
      <c r="A117" t="s">
        <v>128</v>
      </c>
      <c r="B117" t="str">
        <f>RTD("tos.rtd", , "DESCRIPTION", "UGRO")</f>
        <v>URBAN-GRO INC</v>
      </c>
      <c r="C117">
        <f>RTD("tos.rtd", , "MARK", "UGRO")</f>
        <v>3.15</v>
      </c>
      <c r="D117">
        <f>RTD("tos.rtd", , "MARK_CHANGE", "UGRO")</f>
        <v>0</v>
      </c>
      <c r="E117" t="str">
        <f>RTD("tos.rtd", , "MARK_PERCENT_CHANGE", "UGRO")</f>
        <v>0.00%</v>
      </c>
      <c r="F117" t="str">
        <f>RTD("tos.rtd", , "VOLUME", "UGRO")</f>
        <v>N/A</v>
      </c>
      <c r="G117">
        <f>RTD("tos.rtd", , "BID", "UGRO")</f>
        <v>3.07</v>
      </c>
      <c r="H117">
        <f>RTD("tos.rtd", , "ASK", "UGRO")</f>
        <v>3.2</v>
      </c>
      <c r="I117" t="str">
        <f>RTD("tos.rtd", , "MARKET_CAP", "UGRO")</f>
        <v>4.9 M</v>
      </c>
      <c r="J117" t="str">
        <f>RTD("tos.rtd", , "CUSTOM3", "UGRO")</f>
        <v>loading</v>
      </c>
      <c r="K117" t="str">
        <f>RTD("tos.rtd", , "CUSTOM2", "UGRO")</f>
        <v>loading</v>
      </c>
    </row>
    <row r="118" spans="1:11" x14ac:dyDescent="0.25">
      <c r="A118" t="s">
        <v>46</v>
      </c>
      <c r="B118" t="str">
        <f>RTD("tos.rtd", , "DESCRIPTION", "SMX")</f>
        <v>SMX SEC MATTERS PLC</v>
      </c>
      <c r="C118">
        <f>RTD("tos.rtd", , "MARK", "SMX")</f>
        <v>13.14</v>
      </c>
      <c r="D118">
        <f>RTD("tos.rtd", , "MARK_CHANGE", "SMX")</f>
        <v>-0.47</v>
      </c>
      <c r="E118" t="str">
        <f>RTD("tos.rtd", , "MARK_PERCENT_CHANGE", "SMX")</f>
        <v>-3.45%</v>
      </c>
      <c r="F118">
        <f>RTD("tos.rtd", , "VOLUME", "SMX")</f>
        <v>39917</v>
      </c>
      <c r="G118">
        <f>RTD("tos.rtd", , "BID", "SMX")</f>
        <v>13.01</v>
      </c>
      <c r="H118">
        <f>RTD("tos.rtd", , "ASK", "SMX")</f>
        <v>13.27</v>
      </c>
      <c r="I118" t="str">
        <f>RTD("tos.rtd", , "MARKET_CAP", "SMX")</f>
        <v>8.5 M</v>
      </c>
      <c r="J118" t="str">
        <f>RTD("tos.rtd", , "CUSTOM3", "SMX")</f>
        <v>loading</v>
      </c>
      <c r="K118" t="str">
        <f>RTD("tos.rtd", , "CUSTOM2", "SMX")</f>
        <v>loading</v>
      </c>
    </row>
    <row r="119" spans="1:11" x14ac:dyDescent="0.25">
      <c r="A119" t="s">
        <v>52</v>
      </c>
      <c r="B119" t="str">
        <f>RTD("tos.rtd", , "DESCRIPTION", "ELAB")</f>
        <v>PMGC HLDGS INC</v>
      </c>
      <c r="C119">
        <f>RTD("tos.rtd", , "MARK", "ELAB")</f>
        <v>1.2050000000000001</v>
      </c>
      <c r="D119">
        <f>RTD("tos.rtd", , "MARK_CHANGE", "ELAB")</f>
        <v>-5.0000000000000001E-3</v>
      </c>
      <c r="E119" t="str">
        <f>RTD("tos.rtd", , "MARK_PERCENT_CHANGE", "ELAB")</f>
        <v>-0.41%</v>
      </c>
      <c r="F119">
        <f>RTD("tos.rtd", , "VOLUME", "ELAB")</f>
        <v>84873</v>
      </c>
      <c r="G119">
        <f>RTD("tos.rtd", , "BID", "ELAB")</f>
        <v>1.2</v>
      </c>
      <c r="H119">
        <f>RTD("tos.rtd", , "ASK", "ELAB")</f>
        <v>1.21</v>
      </c>
      <c r="I119" t="str">
        <f>RTD("tos.rtd", , "MARKET_CAP", "ELAB")</f>
        <v>5.5 M</v>
      </c>
      <c r="J119" t="str">
        <f>RTD("tos.rtd", , "CUSTOM3", "ELAB")</f>
        <v>loading</v>
      </c>
      <c r="K119" t="str">
        <f>RTD("tos.rtd", , "CUSTOM2", "ELAB")</f>
        <v>loading</v>
      </c>
    </row>
    <row r="120" spans="1:11" x14ac:dyDescent="0.25">
      <c r="A120" t="s">
        <v>129</v>
      </c>
      <c r="B120" t="str">
        <f>RTD("tos.rtd", , "DESCRIPTION", "EU")</f>
        <v>ENCORE ENERGY CORP</v>
      </c>
      <c r="C120">
        <f>RTD("tos.rtd", , "MARK", "EU")</f>
        <v>1.31</v>
      </c>
      <c r="D120">
        <f>RTD("tos.rtd", , "MARK_CHANGE", "EU")</f>
        <v>-0.02</v>
      </c>
      <c r="E120" t="str">
        <f>RTD("tos.rtd", , "MARK_PERCENT_CHANGE", "EU")</f>
        <v>-1.50%</v>
      </c>
      <c r="F120">
        <f>RTD("tos.rtd", , "VOLUME", "EU")</f>
        <v>1168982</v>
      </c>
      <c r="G120">
        <f>RTD("tos.rtd", , "BID", "EU")</f>
        <v>1.3</v>
      </c>
      <c r="H120">
        <f>RTD("tos.rtd", , "ASK", "EU")</f>
        <v>1.31</v>
      </c>
      <c r="I120" t="str">
        <f>RTD("tos.rtd", , "MARKET_CAP", "EU")</f>
        <v>254 M</v>
      </c>
      <c r="J120" t="str">
        <f>RTD("tos.rtd", , "CUSTOM3", "EU")</f>
        <v>loading</v>
      </c>
      <c r="K120">
        <f>RTD("tos.rtd", , "CUSTOM2", "EU")</f>
        <v>58.78</v>
      </c>
    </row>
    <row r="121" spans="1:11" x14ac:dyDescent="0.25">
      <c r="A121" t="s">
        <v>48</v>
      </c>
      <c r="B121" t="str">
        <f>RTD("tos.rtd", , "DESCRIPTION", "BATL")</f>
        <v>BATTALION OIL CORP</v>
      </c>
      <c r="C121">
        <f>RTD("tos.rtd", , "MARK", "BATL")</f>
        <v>1.325</v>
      </c>
      <c r="D121">
        <f>RTD("tos.rtd", , "MARK_CHANGE", "BATL")</f>
        <v>-9.5000000000000001E-2</v>
      </c>
      <c r="E121" t="str">
        <f>RTD("tos.rtd", , "MARK_PERCENT_CHANGE", "BATL")</f>
        <v>-6.69%</v>
      </c>
      <c r="F121">
        <f>RTD("tos.rtd", , "VOLUME", "BATL")</f>
        <v>3000782</v>
      </c>
      <c r="G121">
        <f>RTD("tos.rtd", , "BID", "BATL")</f>
        <v>1.32</v>
      </c>
      <c r="H121">
        <f>RTD("tos.rtd", , "ASK", "BATL")</f>
        <v>1.33</v>
      </c>
      <c r="I121" t="str">
        <f>RTD("tos.rtd", , "MARKET_CAP", "BATL")</f>
        <v>29 M</v>
      </c>
      <c r="J121" t="str">
        <f>RTD("tos.rtd", , "CUSTOM3", "BATL")</f>
        <v>loading</v>
      </c>
      <c r="K121">
        <f>RTD("tos.rtd", , "CUSTOM2", "BATL")</f>
        <v>32.74</v>
      </c>
    </row>
    <row r="122" spans="1:11" x14ac:dyDescent="0.25">
      <c r="A122" t="s">
        <v>11</v>
      </c>
      <c r="B122" t="str">
        <f>RTD("tos.rtd", , "DESCRIPTION", "REPL")</f>
        <v>REPLIMUNE GROUP INC</v>
      </c>
      <c r="C122">
        <f>RTD("tos.rtd", , "MARK", "REPL")</f>
        <v>11.26</v>
      </c>
      <c r="D122">
        <f>RTD("tos.rtd", , "MARK_CHANGE", "REPL")</f>
        <v>0.06</v>
      </c>
      <c r="E122" t="str">
        <f>RTD("tos.rtd", , "MARK_PERCENT_CHANGE", "REPL")</f>
        <v>+0.54%</v>
      </c>
      <c r="F122">
        <f>RTD("tos.rtd", , "VOLUME", "REPL")</f>
        <v>2289022</v>
      </c>
      <c r="G122">
        <f>RTD("tos.rtd", , "BID", "REPL")</f>
        <v>11.25</v>
      </c>
      <c r="H122">
        <f>RTD("tos.rtd", , "ASK", "REPL")</f>
        <v>11.27</v>
      </c>
      <c r="I122" t="str">
        <f>RTD("tos.rtd", , "MARKET_CAP", "REPL")</f>
        <v>930 M</v>
      </c>
      <c r="J122" t="str">
        <f>RTD("tos.rtd", , "CUSTOM3", "REPL")</f>
        <v>loading</v>
      </c>
      <c r="K122" t="str">
        <f>RTD("tos.rtd", , "CUSTOM2", "REPL")</f>
        <v>loading</v>
      </c>
    </row>
    <row r="123" spans="1:11" x14ac:dyDescent="0.25">
      <c r="A123" t="s">
        <v>130</v>
      </c>
      <c r="B123" t="str">
        <f>RTD("tos.rtd", , "DESCRIPTION", "ZENA")</f>
        <v>ZENATECH INC</v>
      </c>
      <c r="C123">
        <f>RTD("tos.rtd", , "MARK", "ZENA")</f>
        <v>1.4850000000000001</v>
      </c>
      <c r="D123">
        <f>RTD("tos.rtd", , "MARK_CHANGE", "ZENA")</f>
        <v>-6.5000000000000002E-2</v>
      </c>
      <c r="E123" t="str">
        <f>RTD("tos.rtd", , "MARK_PERCENT_CHANGE", "ZENA")</f>
        <v>-4.19%</v>
      </c>
      <c r="F123">
        <f>RTD("tos.rtd", , "VOLUME", "ZENA")</f>
        <v>1179670</v>
      </c>
      <c r="G123">
        <f>RTD("tos.rtd", , "BID", "ZENA")</f>
        <v>1.48</v>
      </c>
      <c r="H123">
        <f>RTD("tos.rtd", , "ASK", "ZENA")</f>
        <v>1.49</v>
      </c>
      <c r="I123" t="str">
        <f>RTD("tos.rtd", , "MARKET_CAP", "ZENA")</f>
        <v>129 M</v>
      </c>
      <c r="J123" t="str">
        <f>RTD("tos.rtd", , "CUSTOM3", "ZENA")</f>
        <v>loading</v>
      </c>
      <c r="K123">
        <f>RTD("tos.rtd", , "CUSTOM2", "ZENA")</f>
        <v>33.75</v>
      </c>
    </row>
    <row r="124" spans="1:11" x14ac:dyDescent="0.25">
      <c r="A124" t="s">
        <v>131</v>
      </c>
      <c r="B124" t="str">
        <f>RTD("tos.rtd", , "DESCRIPTION", "PRZO")</f>
        <v>PARAZERO TECHNOLOGIE</v>
      </c>
      <c r="C124">
        <f>RTD("tos.rtd", , "MARK", "PRZO")</f>
        <v>0.49120000000000003</v>
      </c>
      <c r="D124">
        <f>RTD("tos.rtd", , "MARK_CHANGE", "PRZO")</f>
        <v>1.12E-2</v>
      </c>
      <c r="E124" t="str">
        <f>RTD("tos.rtd", , "MARK_PERCENT_CHANGE", "PRZO")</f>
        <v>+2.33%</v>
      </c>
      <c r="F124">
        <f>RTD("tos.rtd", , "VOLUME", "PRZO")</f>
        <v>163229</v>
      </c>
      <c r="G124">
        <f>RTD("tos.rtd", , "BID", "PRZO")</f>
        <v>0.49120000000000003</v>
      </c>
      <c r="H124">
        <f>RTD("tos.rtd", , "ASK", "PRZO")</f>
        <v>0.49270000000000003</v>
      </c>
      <c r="I124" t="str">
        <f>RTD("tos.rtd", , "MARKET_CAP", "PRZO")</f>
        <v>13 M</v>
      </c>
      <c r="J124" t="str">
        <f>RTD("tos.rtd", , "CUSTOM3", "PRZO")</f>
        <v>loading</v>
      </c>
      <c r="K124" t="str">
        <f>RTD("tos.rtd", , "CUSTOM2", "PRZO")</f>
        <v>loading</v>
      </c>
    </row>
    <row r="125" spans="1:11" x14ac:dyDescent="0.25">
      <c r="A125" t="s">
        <v>75</v>
      </c>
      <c r="B125" t="str">
        <f>RTD("tos.rtd", , "DESCRIPTION", "SLDP")</f>
        <v>SOLID PWR INC A</v>
      </c>
      <c r="C125">
        <f>RTD("tos.rtd", , "MARK", "SLDP")</f>
        <v>2.5750000000000002</v>
      </c>
      <c r="D125">
        <f>RTD("tos.rtd", , "MARK_CHANGE", "SLDP")</f>
        <v>-2.5000000000000001E-2</v>
      </c>
      <c r="E125" t="str">
        <f>RTD("tos.rtd", , "MARK_PERCENT_CHANGE", "SLDP")</f>
        <v>-0.96%</v>
      </c>
      <c r="F125">
        <f>RTD("tos.rtd", , "VOLUME", "SLDP")</f>
        <v>1853114</v>
      </c>
      <c r="G125">
        <f>RTD("tos.rtd", , "BID", "SLDP")</f>
        <v>2.57</v>
      </c>
      <c r="H125">
        <f>RTD("tos.rtd", , "ASK", "SLDP")</f>
        <v>2.58</v>
      </c>
      <c r="I125" t="str">
        <f>RTD("tos.rtd", , "MARKET_CAP", "SLDP")</f>
        <v>579 M</v>
      </c>
      <c r="J125" t="str">
        <f>RTD("tos.rtd", , "CUSTOM3", "SLDP")</f>
        <v>loading</v>
      </c>
      <c r="K125" t="str">
        <f>RTD("tos.rtd", , "CUSTOM2", "SLDP")</f>
        <v>loading</v>
      </c>
    </row>
    <row r="126" spans="1:11" x14ac:dyDescent="0.25">
      <c r="A126" t="s">
        <v>2</v>
      </c>
      <c r="B126" t="str">
        <f>RTD("tos.rtd", , "DESCRIPTION", "SES")</f>
        <v>SES AI CORP A</v>
      </c>
      <c r="C126">
        <f>RTD("tos.rtd", , "MARK", "SES")</f>
        <v>0.998</v>
      </c>
      <c r="D126">
        <f>RTD("tos.rtd", , "MARK_CHANGE", "SES")</f>
        <v>4.24E-2</v>
      </c>
      <c r="E126" t="str">
        <f>RTD("tos.rtd", , "MARK_PERCENT_CHANGE", "SES")</f>
        <v>+4.44%</v>
      </c>
      <c r="F126">
        <f>RTD("tos.rtd", , "VOLUME", "SES")</f>
        <v>6298087</v>
      </c>
      <c r="G126">
        <f>RTD("tos.rtd", , "BID", "SES")</f>
        <v>0.99739999999999995</v>
      </c>
      <c r="H126">
        <f>RTD("tos.rtd", , "ASK", "SES")</f>
        <v>0.99860000000000004</v>
      </c>
      <c r="I126" t="str">
        <f>RTD("tos.rtd", , "MARKET_CAP", "SES")</f>
        <v>369 M</v>
      </c>
      <c r="J126" t="str">
        <f>RTD("tos.rtd", , "CUSTOM3", "SES")</f>
        <v>loading</v>
      </c>
      <c r="K126" t="str">
        <f>RTD("tos.rtd", , "CUSTOM2", "SES")</f>
        <v>loading</v>
      </c>
    </row>
    <row r="127" spans="1:11" x14ac:dyDescent="0.25">
      <c r="A127" t="s">
        <v>58</v>
      </c>
      <c r="B127" t="str">
        <f>RTD("tos.rtd", , "DESCRIPTION", "IMSR")</f>
        <v>TERRESTRIAL ENERGY I A</v>
      </c>
      <c r="C127">
        <f>RTD("tos.rtd", , "MARK", "IMSR")</f>
        <v>7</v>
      </c>
      <c r="D127">
        <f>RTD("tos.rtd", , "MARK_CHANGE", "IMSR")</f>
        <v>-0.01</v>
      </c>
      <c r="E127" t="str">
        <f>RTD("tos.rtd", , "MARK_PERCENT_CHANGE", "IMSR")</f>
        <v>-0.14%</v>
      </c>
      <c r="F127">
        <f>RTD("tos.rtd", , "VOLUME", "IMSR")</f>
        <v>621844</v>
      </c>
      <c r="G127">
        <f>RTD("tos.rtd", , "BID", "IMSR")</f>
        <v>6.99</v>
      </c>
      <c r="H127">
        <f>RTD("tos.rtd", , "ASK", "IMSR")</f>
        <v>7.01</v>
      </c>
      <c r="I127" t="str">
        <f>RTD("tos.rtd", , "MARKET_CAP", "IMSR")</f>
        <v>742 M</v>
      </c>
      <c r="J127" t="str">
        <f>RTD("tos.rtd", , "CUSTOM3", "IMSR")</f>
        <v>loading</v>
      </c>
      <c r="K127" t="str">
        <f>RTD("tos.rtd", , "CUSTOM2", "IMSR")</f>
        <v>loading</v>
      </c>
    </row>
    <row r="128" spans="1:11" x14ac:dyDescent="0.25">
      <c r="A128" t="s">
        <v>28</v>
      </c>
      <c r="B128" t="str">
        <f>RTD("tos.rtd", , "DESCRIPTION", "KEEL")</f>
        <v>KEEL INFRASTRUCTURE</v>
      </c>
      <c r="C128">
        <f>RTD("tos.rtd", , "MARK", "KEEL")</f>
        <v>5.7450000000000001</v>
      </c>
      <c r="D128">
        <f>RTD("tos.rtd", , "MARK_CHANGE", "KEEL")</f>
        <v>-3.5000000000000003E-2</v>
      </c>
      <c r="E128" t="str">
        <f>RTD("tos.rtd", , "MARK_PERCENT_CHANGE", "KEEL")</f>
        <v>-0.61%</v>
      </c>
      <c r="F128">
        <f>RTD("tos.rtd", , "VOLUME", "KEEL")</f>
        <v>20703548</v>
      </c>
      <c r="G128">
        <f>RTD("tos.rtd", , "BID", "KEEL")</f>
        <v>5.74</v>
      </c>
      <c r="H128">
        <f>RTD("tos.rtd", , "ASK", "KEEL")</f>
        <v>5.75</v>
      </c>
      <c r="I128" t="str">
        <f>RTD("tos.rtd", , "MARKET_CAP", "KEEL")</f>
        <v>3,469 M</v>
      </c>
      <c r="J128" t="str">
        <f>RTD("tos.rtd", , "CUSTOM3", "KEEL")</f>
        <v>loading</v>
      </c>
      <c r="K128" t="str">
        <f>RTD("tos.rtd", , "CUSTOM2", "KEEL")</f>
        <v>loading</v>
      </c>
    </row>
    <row r="129" spans="1:11" x14ac:dyDescent="0.25">
      <c r="A129" t="s">
        <v>14</v>
      </c>
      <c r="B129" t="str">
        <f>RTD("tos.rtd", , "DESCRIPTION", "PMEC")</f>
        <v>PRIMECH HLDGS LTD</v>
      </c>
      <c r="C129">
        <f>RTD("tos.rtd", , "MARK", "PMEC")</f>
        <v>0.61109999999999998</v>
      </c>
      <c r="D129">
        <f>RTD("tos.rtd", , "MARK_CHANGE", "PMEC")</f>
        <v>-6.8900000000000003E-2</v>
      </c>
      <c r="E129" t="str">
        <f>RTD("tos.rtd", , "MARK_PERCENT_CHANGE", "PMEC")</f>
        <v>-10.13%</v>
      </c>
      <c r="F129">
        <f>RTD("tos.rtd", , "VOLUME", "PMEC")</f>
        <v>46027</v>
      </c>
      <c r="G129">
        <f>RTD("tos.rtd", , "BID", "PMEC")</f>
        <v>0.61109999999999998</v>
      </c>
      <c r="H129">
        <f>RTD("tos.rtd", , "ASK", "PMEC")</f>
        <v>0.64990000000000003</v>
      </c>
      <c r="I129" t="str">
        <f>RTD("tos.rtd", , "MARKET_CAP", "PMEC")</f>
        <v>23 M</v>
      </c>
      <c r="J129" t="str">
        <f>RTD("tos.rtd", , "CUSTOM3", "PMEC")</f>
        <v>loading</v>
      </c>
      <c r="K129" t="str">
        <f>RTD("tos.rtd", , "CUSTOM2", "PMEC")</f>
        <v>loading</v>
      </c>
    </row>
    <row r="130" spans="1:11" x14ac:dyDescent="0.25">
      <c r="A130" t="s">
        <v>6</v>
      </c>
      <c r="B130" t="str">
        <f>RTD("tos.rtd", , "DESCRIPTION", "AIXI")</f>
        <v>XIAO-I CORP ADR</v>
      </c>
      <c r="C130">
        <f>RTD("tos.rtd", , "MARK", "AIXI")</f>
        <v>1.98</v>
      </c>
      <c r="D130">
        <f>RTD("tos.rtd", , "MARK_CHANGE", "AIXI")</f>
        <v>0.03</v>
      </c>
      <c r="E130" t="str">
        <f>RTD("tos.rtd", , "MARK_PERCENT_CHANGE", "AIXI")</f>
        <v>+1.54%</v>
      </c>
      <c r="F130">
        <f>RTD("tos.rtd", , "VOLUME", "AIXI")</f>
        <v>105999</v>
      </c>
      <c r="G130">
        <f>RTD("tos.rtd", , "BID", "AIXI")</f>
        <v>1.95</v>
      </c>
      <c r="H130">
        <f>RTD("tos.rtd", , "ASK", "AIXI")</f>
        <v>1.98</v>
      </c>
      <c r="I130" t="str">
        <f>RTD("tos.rtd", , "MARKET_CAP", "AIXI")</f>
        <v>1.8 M</v>
      </c>
      <c r="J130" t="str">
        <f>RTD("tos.rtd", , "CUSTOM3", "AIXI")</f>
        <v>loading</v>
      </c>
      <c r="K130" t="str">
        <f>RTD("tos.rtd", , "CUSTOM2", "AIXI")</f>
        <v>loading</v>
      </c>
    </row>
    <row r="131" spans="1:11" x14ac:dyDescent="0.25">
      <c r="A131" t="s">
        <v>65</v>
      </c>
      <c r="B131" t="str">
        <f>RTD("tos.rtd", , "DESCRIPTION", "ASTI")</f>
        <v>ASCENT SOLAR TECHNOL Equity</v>
      </c>
      <c r="C131">
        <f>RTD("tos.rtd", , "MARK", "ASTI")</f>
        <v>5.07</v>
      </c>
      <c r="D131">
        <f>RTD("tos.rtd", , "MARK_CHANGE", "ASTI")</f>
        <v>0.17</v>
      </c>
      <c r="E131" t="str">
        <f>RTD("tos.rtd", , "MARK_PERCENT_CHANGE", "ASTI")</f>
        <v>+3.47%</v>
      </c>
      <c r="F131">
        <f>RTD("tos.rtd", , "VOLUME", "ASTI")</f>
        <v>466821</v>
      </c>
      <c r="G131">
        <f>RTD("tos.rtd", , "BID", "ASTI")</f>
        <v>5.03</v>
      </c>
      <c r="H131">
        <f>RTD("tos.rtd", , "ASK", "ASTI")</f>
        <v>5.08</v>
      </c>
      <c r="I131" t="str">
        <f>RTD("tos.rtd", , "MARKET_CAP", "ASTI")</f>
        <v>48 M</v>
      </c>
      <c r="J131" t="str">
        <f>RTD("tos.rtd", , "CUSTOM3", "ASTI")</f>
        <v>loading</v>
      </c>
      <c r="K131" t="str">
        <f>RTD("tos.rtd", , "CUSTOM2", "ASTI")</f>
        <v>loading</v>
      </c>
    </row>
    <row r="132" spans="1:11" x14ac:dyDescent="0.25">
      <c r="A132" t="s">
        <v>3</v>
      </c>
      <c r="B132" t="str">
        <f>RTD("tos.rtd", , "DESCRIPTION", "QS")</f>
        <v>QUANTUMSCAPE CORP A</v>
      </c>
      <c r="C132">
        <f>RTD("tos.rtd", , "MARK", "QS")</f>
        <v>7.5750000000000002</v>
      </c>
      <c r="D132">
        <f>RTD("tos.rtd", , "MARK_CHANGE", "QS")</f>
        <v>-1.4999999999999999E-2</v>
      </c>
      <c r="E132" t="str">
        <f>RTD("tos.rtd", , "MARK_PERCENT_CHANGE", "QS")</f>
        <v>-0.20%</v>
      </c>
      <c r="F132">
        <f>RTD("tos.rtd", , "VOLUME", "QS")</f>
        <v>11455312</v>
      </c>
      <c r="G132">
        <f>RTD("tos.rtd", , "BID", "QS")</f>
        <v>7.57</v>
      </c>
      <c r="H132">
        <f>RTD("tos.rtd", , "ASK", "QS")</f>
        <v>7.58</v>
      </c>
      <c r="I132" t="str">
        <f>RTD("tos.rtd", , "MARKET_CAP", "QS")</f>
        <v>4,660 M</v>
      </c>
      <c r="J132" t="str">
        <f>RTD("tos.rtd", , "CUSTOM3", "QS")</f>
        <v>loading</v>
      </c>
      <c r="K132" t="str">
        <f>RTD("tos.rtd", , "CUSTOM2", "QS")</f>
        <v>loading</v>
      </c>
    </row>
    <row r="133" spans="1:11" x14ac:dyDescent="0.25">
      <c r="A133" t="s">
        <v>38</v>
      </c>
      <c r="B133" t="str">
        <f>RTD("tos.rtd", , "DESCRIPTION", "RECT")</f>
        <v>RECTITUDE HLDGS LTD.</v>
      </c>
      <c r="C133">
        <f>RTD("tos.rtd", , "MARK", "RECT")</f>
        <v>1.26</v>
      </c>
      <c r="D133">
        <f>RTD("tos.rtd", , "MARK_CHANGE", "RECT")</f>
        <v>-4.4999999999999997E-3</v>
      </c>
      <c r="E133" t="str">
        <f>RTD("tos.rtd", , "MARK_PERCENT_CHANGE", "RECT")</f>
        <v>-0.36%</v>
      </c>
      <c r="F133">
        <f>RTD("tos.rtd", , "VOLUME", "RECT")</f>
        <v>578</v>
      </c>
      <c r="G133">
        <f>RTD("tos.rtd", , "BID", "RECT")</f>
        <v>1.24</v>
      </c>
      <c r="H133">
        <f>RTD("tos.rtd", , "ASK", "RECT")</f>
        <v>1.28</v>
      </c>
      <c r="I133" t="str">
        <f>RTD("tos.rtd", , "MARKET_CAP", "RECT")</f>
        <v>18 M</v>
      </c>
      <c r="J133" t="str">
        <f>RTD("tos.rtd", , "CUSTOM3", "RECT")</f>
        <v>loading</v>
      </c>
      <c r="K133" t="str">
        <f>RTD("tos.rtd", , "CUSTOM2", "RECT")</f>
        <v>loading</v>
      </c>
    </row>
    <row r="134" spans="1:11" x14ac:dyDescent="0.25">
      <c r="A134" t="s">
        <v>132</v>
      </c>
      <c r="B134" t="str">
        <f>RTD("tos.rtd", , "DESCRIPTION", "RYAM")</f>
        <v>RAYONIER ADVANCED MA</v>
      </c>
      <c r="C134">
        <f>RTD("tos.rtd", , "MARK", "RYAM")</f>
        <v>7.77</v>
      </c>
      <c r="D134">
        <f>RTD("tos.rtd", , "MARK_CHANGE", "RYAM")</f>
        <v>-0.14000000000000001</v>
      </c>
      <c r="E134" t="str">
        <f>RTD("tos.rtd", , "MARK_PERCENT_CHANGE", "RYAM")</f>
        <v>-1.77%</v>
      </c>
      <c r="F134">
        <f>RTD("tos.rtd", , "VOLUME", "RYAM")</f>
        <v>230560</v>
      </c>
      <c r="G134">
        <f>RTD("tos.rtd", , "BID", "RYAM")</f>
        <v>7.76</v>
      </c>
      <c r="H134">
        <f>RTD("tos.rtd", , "ASK", "RYAM")</f>
        <v>7.77</v>
      </c>
      <c r="I134" t="str">
        <f>RTD("tos.rtd", , "MARKET_CAP", "RYAM")</f>
        <v>524 M</v>
      </c>
      <c r="J134" t="str">
        <f>RTD("tos.rtd", , "CUSTOM3", "RYAM")</f>
        <v>loading</v>
      </c>
      <c r="K134" t="str">
        <f>RTD("tos.rtd", , "CUSTOM2", "RYAM")</f>
        <v>loading</v>
      </c>
    </row>
    <row r="135" spans="1:11" x14ac:dyDescent="0.25">
      <c r="A135" t="s">
        <v>133</v>
      </c>
      <c r="B135" t="str">
        <f>RTD("tos.rtd", , "DESCRIPTION", "ACRS")</f>
        <v>ACLARIS THERAPEUTICS</v>
      </c>
      <c r="C135">
        <f>RTD("tos.rtd", , "MARK", "ACRS")</f>
        <v>5.2450000000000001</v>
      </c>
      <c r="D135">
        <f>RTD("tos.rtd", , "MARK_CHANGE", "ACRS")</f>
        <v>0.22500000000000001</v>
      </c>
      <c r="E135" t="str">
        <f>RTD("tos.rtd", , "MARK_PERCENT_CHANGE", "ACRS")</f>
        <v>+4.48%</v>
      </c>
      <c r="F135">
        <f>RTD("tos.rtd", , "VOLUME", "ACRS")</f>
        <v>1688244</v>
      </c>
      <c r="G135">
        <f>RTD("tos.rtd", , "BID", "ACRS")</f>
        <v>5.24</v>
      </c>
      <c r="H135">
        <f>RTD("tos.rtd", , "ASK", "ACRS")</f>
        <v>5.25</v>
      </c>
      <c r="I135" t="str">
        <f>RTD("tos.rtd", , "MARKET_CAP", "ACRS")</f>
        <v>733 M</v>
      </c>
      <c r="J135" t="str">
        <f>RTD("tos.rtd", , "CUSTOM3", "ACRS")</f>
        <v>loading</v>
      </c>
      <c r="K135" t="str">
        <f>RTD("tos.rtd", , "CUSTOM2", "ACRS")</f>
        <v>loading</v>
      </c>
    </row>
    <row r="136" spans="1:11" x14ac:dyDescent="0.25">
      <c r="A136" t="s">
        <v>134</v>
      </c>
      <c r="B136" t="str">
        <f>RTD("tos.rtd", , "DESCRIPTION", "TWI")</f>
        <v>TITAN INTL INC DEL</v>
      </c>
      <c r="C136">
        <f>RTD("tos.rtd", , "MARK", "TWI")</f>
        <v>7.88</v>
      </c>
      <c r="D136">
        <f>RTD("tos.rtd", , "MARK_CHANGE", "TWI")</f>
        <v>0.03</v>
      </c>
      <c r="E136" t="str">
        <f>RTD("tos.rtd", , "MARK_PERCENT_CHANGE", "TWI")</f>
        <v>+0.38%</v>
      </c>
      <c r="F136">
        <f>RTD("tos.rtd", , "VOLUME", "TWI")</f>
        <v>253722</v>
      </c>
      <c r="G136">
        <f>RTD("tos.rtd", , "BID", "TWI")</f>
        <v>7.86</v>
      </c>
      <c r="H136">
        <f>RTD("tos.rtd", , "ASK", "TWI")</f>
        <v>7.88</v>
      </c>
      <c r="I136" t="str">
        <f>RTD("tos.rtd", , "MARKET_CAP", "TWI")</f>
        <v>507 M</v>
      </c>
      <c r="J136" t="str">
        <f>RTD("tos.rtd", , "CUSTOM3", "TWI")</f>
        <v>loading</v>
      </c>
      <c r="K136" t="str">
        <f>RTD("tos.rtd", , "CUSTOM2", "TWI")</f>
        <v>loading</v>
      </c>
    </row>
    <row r="137" spans="1:11" x14ac:dyDescent="0.25">
      <c r="A137" t="s">
        <v>135</v>
      </c>
      <c r="B137" t="str">
        <f>RTD("tos.rtd", , "DESCRIPTION", "CMPS")</f>
        <v>COMPASS PATHWAYS ADR ADR</v>
      </c>
      <c r="C137">
        <f>RTD("tos.rtd", , "MARK", "CMPS")</f>
        <v>14.605</v>
      </c>
      <c r="D137">
        <f>RTD("tos.rtd", , "MARK_CHANGE", "CMPS")</f>
        <v>-0.46500000000000002</v>
      </c>
      <c r="E137" t="str">
        <f>RTD("tos.rtd", , "MARK_PERCENT_CHANGE", "CMPS")</f>
        <v>-3.09%</v>
      </c>
      <c r="F137">
        <f>RTD("tos.rtd", , "VOLUME", "CMPS")</f>
        <v>2006992</v>
      </c>
      <c r="G137">
        <f>RTD("tos.rtd", , "BID", "CMPS")</f>
        <v>14.59</v>
      </c>
      <c r="H137">
        <f>RTD("tos.rtd", , "ASK", "CMPS")</f>
        <v>14.62</v>
      </c>
      <c r="I137" t="str">
        <f>RTD("tos.rtd", , "MARKET_CAP", "CMPS")</f>
        <v>1,971 M</v>
      </c>
      <c r="J137" t="str">
        <f>RTD("tos.rtd", , "CUSTOM3", "CMPS")</f>
        <v>loading</v>
      </c>
      <c r="K137" t="str">
        <f>RTD("tos.rtd", , "CUSTOM2", "CMPS")</f>
        <v>loading</v>
      </c>
    </row>
    <row r="138" spans="1:11" x14ac:dyDescent="0.25">
      <c r="A138" t="s">
        <v>136</v>
      </c>
      <c r="B138" t="str">
        <f>RTD("tos.rtd", , "DESCRIPTION", "ABSI")</f>
        <v>ABSCI CORP</v>
      </c>
      <c r="C138">
        <f>RTD("tos.rtd", , "MARK", "ABSI")</f>
        <v>11.65</v>
      </c>
      <c r="D138">
        <f>RTD("tos.rtd", , "MARK_CHANGE", "ABSI")</f>
        <v>0.3</v>
      </c>
      <c r="E138" t="str">
        <f>RTD("tos.rtd", , "MARK_PERCENT_CHANGE", "ABSI")</f>
        <v>+2.64%</v>
      </c>
      <c r="F138">
        <f>RTD("tos.rtd", , "VOLUME", "ABSI")</f>
        <v>2909937</v>
      </c>
      <c r="G138">
        <f>RTD("tos.rtd", , "BID", "ABSI")</f>
        <v>11.65</v>
      </c>
      <c r="H138">
        <f>RTD("tos.rtd", , "ASK", "ABSI")</f>
        <v>11.66</v>
      </c>
      <c r="I138" t="str">
        <f>RTD("tos.rtd", , "MARKET_CAP", "ABSI")</f>
        <v>1,974 M</v>
      </c>
      <c r="J138" t="str">
        <f>RTD("tos.rtd", , "CUSTOM3", "ABSI")</f>
        <v>loading</v>
      </c>
      <c r="K138">
        <f>RTD("tos.rtd", , "CUSTOM2", "ABSI")</f>
        <v>63.17</v>
      </c>
    </row>
    <row r="139" spans="1:11" x14ac:dyDescent="0.25">
      <c r="A139" t="s">
        <v>137</v>
      </c>
      <c r="B139" t="str">
        <f>RTD("tos.rtd", , "DESCRIPTION", "BTG")</f>
        <v>B2GOLD CORP</v>
      </c>
      <c r="C139">
        <f>RTD("tos.rtd", , "MARK", "BTG")</f>
        <v>3.7349999999999999</v>
      </c>
      <c r="D139">
        <f>RTD("tos.rtd", , "MARK_CHANGE", "BTG")</f>
        <v>-5.5E-2</v>
      </c>
      <c r="E139" t="str">
        <f>RTD("tos.rtd", , "MARK_PERCENT_CHANGE", "BTG")</f>
        <v>-1.45%</v>
      </c>
      <c r="F139">
        <f>RTD("tos.rtd", , "VOLUME", "BTG")</f>
        <v>15671421</v>
      </c>
      <c r="G139">
        <f>RTD("tos.rtd", , "BID", "BTG")</f>
        <v>3.73</v>
      </c>
      <c r="H139">
        <f>RTD("tos.rtd", , "ASK", "BTG")</f>
        <v>3.74</v>
      </c>
      <c r="I139" t="str">
        <f>RTD("tos.rtd", , "MARKET_CAP", "BTG")</f>
        <v>4,977 M</v>
      </c>
      <c r="J139" t="str">
        <f>RTD("tos.rtd", , "CUSTOM3", "BTG")</f>
        <v>loading</v>
      </c>
      <c r="K139" t="str">
        <f>RTD("tos.rtd", , "CUSTOM2", "BTG")</f>
        <v>loading</v>
      </c>
    </row>
    <row r="140" spans="1:11" x14ac:dyDescent="0.25">
      <c r="A140" t="s">
        <v>138</v>
      </c>
      <c r="B140" t="str">
        <f>RTD("tos.rtd", , "DESCRIPTION", "GPK")</f>
        <v>GRAPHIC PACKAGING HL</v>
      </c>
      <c r="C140">
        <f>RTD("tos.rtd", , "MARK", "GPK")</f>
        <v>10.675000000000001</v>
      </c>
      <c r="D140">
        <f>RTD("tos.rtd", , "MARK_CHANGE", "GPK")</f>
        <v>2.5000000000000001E-2</v>
      </c>
      <c r="E140" t="str">
        <f>RTD("tos.rtd", , "MARK_PERCENT_CHANGE", "GPK")</f>
        <v>+0.23%</v>
      </c>
      <c r="F140">
        <f>RTD("tos.rtd", , "VOLUME", "GPK")</f>
        <v>1484750</v>
      </c>
      <c r="G140">
        <f>RTD("tos.rtd", , "BID", "GPK")</f>
        <v>10.67</v>
      </c>
      <c r="H140">
        <f>RTD("tos.rtd", , "ASK", "GPK")</f>
        <v>10.68</v>
      </c>
      <c r="I140" t="str">
        <f>RTD("tos.rtd", , "MARKET_CAP", "GPK")</f>
        <v>3,159 M</v>
      </c>
      <c r="J140" t="str">
        <f>RTD("tos.rtd", , "CUSTOM3", "GPK")</f>
        <v>loading</v>
      </c>
      <c r="K140" t="str">
        <f>RTD("tos.rtd", , "CUSTOM2", "GPK")</f>
        <v>loading</v>
      </c>
    </row>
    <row r="141" spans="1:11" x14ac:dyDescent="0.25">
      <c r="A141" t="s">
        <v>139</v>
      </c>
      <c r="B141" t="str">
        <f>RTD("tos.rtd", , "DESCRIPTION", "BDMD")</f>
        <v>BAIRD MED INVT HLDGS</v>
      </c>
      <c r="C141">
        <f>RTD("tos.rtd", , "MARK", "BDMD")</f>
        <v>1.135</v>
      </c>
      <c r="D141">
        <f>RTD("tos.rtd", , "MARK_CHANGE", "BDMD")</f>
        <v>-5.0000000000000001E-3</v>
      </c>
      <c r="E141" t="str">
        <f>RTD("tos.rtd", , "MARK_PERCENT_CHANGE", "BDMD")</f>
        <v>-0.44%</v>
      </c>
      <c r="F141">
        <f>RTD("tos.rtd", , "VOLUME", "BDMD")</f>
        <v>63972</v>
      </c>
      <c r="G141">
        <f>RTD("tos.rtd", , "BID", "BDMD")</f>
        <v>1.1100000000000001</v>
      </c>
      <c r="H141">
        <f>RTD("tos.rtd", , "ASK", "BDMD")</f>
        <v>1.1599999999999999</v>
      </c>
      <c r="I141" t="str">
        <f>RTD("tos.rtd", , "MARKET_CAP", "BDMD")</f>
        <v>36 M</v>
      </c>
      <c r="J141" t="str">
        <f>RTD("tos.rtd", , "CUSTOM3", "BDMD")</f>
        <v>loading</v>
      </c>
      <c r="K141" t="str">
        <f>RTD("tos.rtd", , "CUSTOM2", "BDMD")</f>
        <v>loading</v>
      </c>
    </row>
    <row r="142" spans="1:11" x14ac:dyDescent="0.25">
      <c r="A142" t="s">
        <v>140</v>
      </c>
      <c r="B142" t="str">
        <f>RTD("tos.rtd", , "DESCRIPTION", "ACDC")</f>
        <v>PROFRAC HLDG CORP A</v>
      </c>
      <c r="C142">
        <f>RTD("tos.rtd", , "MARK", "ACDC")</f>
        <v>5.6550000000000002</v>
      </c>
      <c r="D142">
        <f>RTD("tos.rtd", , "MARK_CHANGE", "ACDC")</f>
        <v>-0.14499999999999999</v>
      </c>
      <c r="E142" t="str">
        <f>RTD("tos.rtd", , "MARK_PERCENT_CHANGE", "ACDC")</f>
        <v>-2.50%</v>
      </c>
      <c r="F142">
        <f>RTD("tos.rtd", , "VOLUME", "ACDC")</f>
        <v>425697</v>
      </c>
      <c r="G142">
        <f>RTD("tos.rtd", , "BID", "ACDC")</f>
        <v>5.65</v>
      </c>
      <c r="H142">
        <f>RTD("tos.rtd", , "ASK", "ACDC")</f>
        <v>5.66</v>
      </c>
      <c r="I142" t="str">
        <f>RTD("tos.rtd", , "MARKET_CAP", "ACDC")</f>
        <v>1,023 M</v>
      </c>
      <c r="J142" t="str">
        <f>RTD("tos.rtd", , "CUSTOM3", "ACDC")</f>
        <v>loading</v>
      </c>
      <c r="K142" t="str">
        <f>RTD("tos.rtd", , "CUSTOM2", "ACDC")</f>
        <v>loading</v>
      </c>
    </row>
    <row r="143" spans="1:11" x14ac:dyDescent="0.25">
      <c r="A143" t="s">
        <v>141</v>
      </c>
      <c r="B143" t="str">
        <f>RTD("tos.rtd", , "DESCRIPTION", "MLEC")</f>
        <v>MOOLEC SCIENCE SA</v>
      </c>
      <c r="C143">
        <f>RTD("tos.rtd", , "MARK", "MLEC")</f>
        <v>7.42</v>
      </c>
      <c r="D143">
        <f>RTD("tos.rtd", , "MARK_CHANGE", "MLEC")</f>
        <v>-0.67</v>
      </c>
      <c r="E143" t="str">
        <f>RTD("tos.rtd", , "MARK_PERCENT_CHANGE", "MLEC")</f>
        <v>-8.28%</v>
      </c>
      <c r="F143">
        <f>RTD("tos.rtd", , "VOLUME", "MLEC")</f>
        <v>6864</v>
      </c>
      <c r="G143">
        <f>RTD("tos.rtd", , "BID", "MLEC")</f>
        <v>7.24</v>
      </c>
      <c r="H143">
        <f>RTD("tos.rtd", , "ASK", "MLEC")</f>
        <v>7.66</v>
      </c>
      <c r="I143" t="str">
        <f>RTD("tos.rtd", , "MARKET_CAP", "MLEC")</f>
        <v>5.4 M</v>
      </c>
      <c r="J143" t="str">
        <f>RTD("tos.rtd", , "CUSTOM3", "MLEC")</f>
        <v>loading</v>
      </c>
      <c r="K143" t="str">
        <f>RTD("tos.rtd", , "CUSTOM2", "MLEC")</f>
        <v>loading</v>
      </c>
    </row>
    <row r="144" spans="1:11" x14ac:dyDescent="0.25">
      <c r="A144" t="s">
        <v>142</v>
      </c>
      <c r="B144" t="str">
        <f>RTD("tos.rtd", , "DESCRIPTION", "IKT")</f>
        <v>INHIBIKASE THERAPEUT Equity</v>
      </c>
      <c r="C144">
        <f>RTD("tos.rtd", , "MARK", "IKT")</f>
        <v>2</v>
      </c>
      <c r="D144">
        <f>RTD("tos.rtd", , "MARK_CHANGE", "IKT")</f>
        <v>7.0000000000000007E-2</v>
      </c>
      <c r="E144" t="str">
        <f>RTD("tos.rtd", , "MARK_PERCENT_CHANGE", "IKT")</f>
        <v>+3.63%</v>
      </c>
      <c r="F144">
        <f>RTD("tos.rtd", , "VOLUME", "IKT")</f>
        <v>1032178</v>
      </c>
      <c r="G144">
        <f>RTD("tos.rtd", , "BID", "IKT")</f>
        <v>1.99</v>
      </c>
      <c r="H144">
        <f>RTD("tos.rtd", , "ASK", "IKT")</f>
        <v>2</v>
      </c>
      <c r="I144" t="str">
        <f>RTD("tos.rtd", , "MARKET_CAP", "IKT")</f>
        <v>264 M</v>
      </c>
      <c r="J144">
        <f>RTD("tos.rtd", , "CUSTOM3", "IKT")</f>
        <v>17.02</v>
      </c>
      <c r="K144">
        <f>RTD("tos.rtd", , "CUSTOM2", "IKT")</f>
        <v>88.03</v>
      </c>
    </row>
    <row r="145" spans="1:11" x14ac:dyDescent="0.25">
      <c r="A145" t="s">
        <v>63</v>
      </c>
      <c r="B145" t="str">
        <f>RTD("tos.rtd", , "DESCRIPTION", "MNTS")</f>
        <v>MOMENTUS INC A</v>
      </c>
      <c r="C145">
        <f>RTD("tos.rtd", , "MARK", "MNTS")</f>
        <v>6.79</v>
      </c>
      <c r="D145">
        <f>RTD("tos.rtd", , "MARK_CHANGE", "MNTS")</f>
        <v>-0.51</v>
      </c>
      <c r="E145" t="str">
        <f>RTD("tos.rtd", , "MARK_PERCENT_CHANGE", "MNTS")</f>
        <v>-6.99%</v>
      </c>
      <c r="F145">
        <f>RTD("tos.rtd", , "VOLUME", "MNTS")</f>
        <v>2291542</v>
      </c>
      <c r="G145">
        <f>RTD("tos.rtd", , "BID", "MNTS")</f>
        <v>6.77</v>
      </c>
      <c r="H145">
        <f>RTD("tos.rtd", , "ASK", "MNTS")</f>
        <v>6.81</v>
      </c>
      <c r="I145" t="str">
        <f>RTD("tos.rtd", , "MARKET_CAP", "MNTS")</f>
        <v>128 M</v>
      </c>
      <c r="J145" t="str">
        <f>RTD("tos.rtd", , "CUSTOM3", "MNTS")</f>
        <v>loading</v>
      </c>
      <c r="K145">
        <f>RTD("tos.rtd", , "CUSTOM2", "MNTS")</f>
        <v>33.68</v>
      </c>
    </row>
    <row r="146" spans="1:11" x14ac:dyDescent="0.25">
      <c r="A146" t="s">
        <v>143</v>
      </c>
      <c r="B146" t="str">
        <f>RTD("tos.rtd", , "DESCRIPTION", "CDLX")</f>
        <v>CARDLYTICS INC</v>
      </c>
      <c r="C146">
        <f>RTD("tos.rtd", , "MARK", "CDLX")</f>
        <v>4.57</v>
      </c>
      <c r="D146">
        <f>RTD("tos.rtd", , "MARK_CHANGE", "CDLX")</f>
        <v>-0.3</v>
      </c>
      <c r="E146" t="str">
        <f>RTD("tos.rtd", , "MARK_PERCENT_CHANGE", "CDLX")</f>
        <v>-6.16%</v>
      </c>
      <c r="F146">
        <f>RTD("tos.rtd", , "VOLUME", "CDLX")</f>
        <v>40260</v>
      </c>
      <c r="G146">
        <f>RTD("tos.rtd", , "BID", "CDLX")</f>
        <v>4.57</v>
      </c>
      <c r="H146">
        <f>RTD("tos.rtd", , "ASK", "CDLX")</f>
        <v>4.5999999999999996</v>
      </c>
      <c r="I146" t="str">
        <f>RTD("tos.rtd", , "MARKET_CAP", "CDLX")</f>
        <v>27 M</v>
      </c>
      <c r="J146" t="str">
        <f>RTD("tos.rtd", , "CUSTOM3", "CDLX")</f>
        <v>loading</v>
      </c>
      <c r="K146" t="str">
        <f>RTD("tos.rtd", , "CUSTOM2", "CDLX")</f>
        <v>loading</v>
      </c>
    </row>
    <row r="147" spans="1:11" x14ac:dyDescent="0.25">
      <c r="A147" t="s">
        <v>144</v>
      </c>
      <c r="B147" t="str">
        <f>RTD("tos.rtd", , "DESCRIPTION", "OCGN")</f>
        <v>OCUGEN INC</v>
      </c>
      <c r="C147">
        <f>RTD("tos.rtd", , "MARK", "OCGN")</f>
        <v>1.575</v>
      </c>
      <c r="D147">
        <f>RTD("tos.rtd", , "MARK_CHANGE", "OCGN")</f>
        <v>-9.5000000000000001E-2</v>
      </c>
      <c r="E147" t="str">
        <f>RTD("tos.rtd", , "MARK_PERCENT_CHANGE", "OCGN")</f>
        <v>-5.69%</v>
      </c>
      <c r="F147">
        <f>RTD("tos.rtd", , "VOLUME", "OCGN")</f>
        <v>6824508</v>
      </c>
      <c r="G147">
        <f>RTD("tos.rtd", , "BID", "OCGN")</f>
        <v>1.57</v>
      </c>
      <c r="H147">
        <f>RTD("tos.rtd", , "ASK", "OCGN")</f>
        <v>1.58</v>
      </c>
      <c r="I147" t="str">
        <f>RTD("tos.rtd", , "MARKET_CAP", "OCGN")</f>
        <v>533 M</v>
      </c>
      <c r="J147" t="str">
        <f>RTD("tos.rtd", , "CUSTOM3", "OCGN")</f>
        <v>loading</v>
      </c>
      <c r="K147" t="str">
        <f>RTD("tos.rtd", , "CUSTOM2", "OCGN")</f>
        <v>loading</v>
      </c>
    </row>
    <row r="148" spans="1:11" x14ac:dyDescent="0.25">
      <c r="A148" t="s">
        <v>24</v>
      </c>
      <c r="B148" t="str">
        <f>RTD("tos.rtd", , "DESCRIPTION", "SLNH")</f>
        <v>SOLUNA HOLDINGS INC</v>
      </c>
      <c r="C148">
        <f>RTD("tos.rtd", , "MARK", "SLNH")</f>
        <v>1.375</v>
      </c>
      <c r="D148">
        <f>RTD("tos.rtd", , "MARK_CHANGE", "SLNH")</f>
        <v>-2.5000000000000001E-2</v>
      </c>
      <c r="E148" t="str">
        <f>RTD("tos.rtd", , "MARK_PERCENT_CHANGE", "SLNH")</f>
        <v>-1.79%</v>
      </c>
      <c r="F148">
        <f>RTD("tos.rtd", , "VOLUME", "SLNH")</f>
        <v>6286152</v>
      </c>
      <c r="G148">
        <f>RTD("tos.rtd", , "BID", "SLNH")</f>
        <v>1.37</v>
      </c>
      <c r="H148">
        <f>RTD("tos.rtd", , "ASK", "SLNH")</f>
        <v>1.38</v>
      </c>
      <c r="I148" t="str">
        <f>RTD("tos.rtd", , "MARKET_CAP", "SLNH")</f>
        <v>217 M</v>
      </c>
      <c r="J148" t="str">
        <f>RTD("tos.rtd", , "CUSTOM3", "SLNH")</f>
        <v>loading</v>
      </c>
      <c r="K148">
        <f>RTD("tos.rtd", , "CUSTOM2", "SLNH")</f>
        <v>35.549999999999997</v>
      </c>
    </row>
    <row r="149" spans="1:11" x14ac:dyDescent="0.25">
      <c r="A149" t="s">
        <v>145</v>
      </c>
      <c r="B149" t="str">
        <f>RTD("tos.rtd", , "DESCRIPTION", "GCTS")</f>
        <v>GCT SEMICONDUCTOR HO</v>
      </c>
      <c r="C149">
        <f>RTD("tos.rtd", , "MARK", "GCTS")</f>
        <v>3.0750000000000002</v>
      </c>
      <c r="D149">
        <f>RTD("tos.rtd", , "MARK_CHANGE", "GCTS")</f>
        <v>0.51500000000000001</v>
      </c>
      <c r="E149" t="str">
        <f>RTD("tos.rtd", , "MARK_PERCENT_CHANGE", "GCTS")</f>
        <v>+20.12%</v>
      </c>
      <c r="F149">
        <f>RTD("tos.rtd", , "VOLUME", "GCTS")</f>
        <v>3310778</v>
      </c>
      <c r="G149">
        <f>RTD("tos.rtd", , "BID", "GCTS")</f>
        <v>3.07</v>
      </c>
      <c r="H149">
        <f>RTD("tos.rtd", , "ASK", "GCTS")</f>
        <v>3.08</v>
      </c>
      <c r="I149" t="str">
        <f>RTD("tos.rtd", , "MARKET_CAP", "GCTS")</f>
        <v>280 M</v>
      </c>
      <c r="J149">
        <f>RTD("tos.rtd", , "CUSTOM3", "GCTS")</f>
        <v>96.77</v>
      </c>
      <c r="K149">
        <f>RTD("tos.rtd", , "CUSTOM2", "GCTS")</f>
        <v>78.92</v>
      </c>
    </row>
    <row r="150" spans="1:11" x14ac:dyDescent="0.25">
      <c r="A150" t="s">
        <v>146</v>
      </c>
      <c r="B150" t="str">
        <f>RTD("tos.rtd", , "DESCRIPTION", "HLX")</f>
        <v>HELIX ENERGY SOLUTIO</v>
      </c>
      <c r="C150">
        <f>RTD("tos.rtd", , "MARK", "HLX")</f>
        <v>8.81</v>
      </c>
      <c r="D150">
        <f>RTD("tos.rtd", , "MARK_CHANGE", "HLX")</f>
        <v>0.1</v>
      </c>
      <c r="E150" t="str">
        <f>RTD("tos.rtd", , "MARK_PERCENT_CHANGE", "HLX")</f>
        <v>+1.15%</v>
      </c>
      <c r="F150">
        <f>RTD("tos.rtd", , "VOLUME", "HLX")</f>
        <v>398131</v>
      </c>
      <c r="G150">
        <f>RTD("tos.rtd", , "BID", "HLX")</f>
        <v>8.81</v>
      </c>
      <c r="H150">
        <f>RTD("tos.rtd", , "ASK", "HLX")</f>
        <v>8.82</v>
      </c>
      <c r="I150" t="str">
        <f>RTD("tos.rtd", , "MARKET_CAP", "HLX")</f>
        <v>1,298 M</v>
      </c>
      <c r="J150" t="str">
        <f>RTD("tos.rtd", , "CUSTOM3", "HLX")</f>
        <v>loading</v>
      </c>
      <c r="K150" t="str">
        <f>RTD("tos.rtd", , "CUSTOM2", "HLX")</f>
        <v>loading</v>
      </c>
    </row>
    <row r="151" spans="1:11" x14ac:dyDescent="0.25">
      <c r="A151" t="s">
        <v>147</v>
      </c>
      <c r="B151" t="str">
        <f>RTD("tos.rtd", , "DESCRIPTION", "JBLU")</f>
        <v>JETBLUE AWYS CORP EQ Equity</v>
      </c>
      <c r="C151">
        <f>RTD("tos.rtd", , "MARK", "JBLU")</f>
        <v>5.6550000000000002</v>
      </c>
      <c r="D151">
        <f>RTD("tos.rtd", , "MARK_CHANGE", "JBLU")</f>
        <v>2.5000000000000001E-2</v>
      </c>
      <c r="E151" t="str">
        <f>RTD("tos.rtd", , "MARK_PERCENT_CHANGE", "JBLU")</f>
        <v>+0.44%</v>
      </c>
      <c r="F151">
        <f>RTD("tos.rtd", , "VOLUME", "JBLU")</f>
        <v>21449777</v>
      </c>
      <c r="G151">
        <f>RTD("tos.rtd", , "BID", "JBLU")</f>
        <v>5.65</v>
      </c>
      <c r="H151">
        <f>RTD("tos.rtd", , "ASK", "JBLU")</f>
        <v>5.66</v>
      </c>
      <c r="I151" t="str">
        <f>RTD("tos.rtd", , "MARKET_CAP", "JBLU")</f>
        <v>2,104 M</v>
      </c>
      <c r="J151" t="str">
        <f>RTD("tos.rtd", , "CUSTOM3", "JBLU")</f>
        <v>loading</v>
      </c>
      <c r="K151" t="str">
        <f>RTD("tos.rtd", , "CUSTOM2", "JBLU")</f>
        <v>loading</v>
      </c>
    </row>
    <row r="152" spans="1:11" x14ac:dyDescent="0.25">
      <c r="A152" t="s">
        <v>148</v>
      </c>
      <c r="B152" t="str">
        <f>RTD("tos.rtd", , "DESCRIPTION", "JDZG")</f>
        <v>JIADE LTD A</v>
      </c>
      <c r="C152">
        <f>RTD("tos.rtd", , "MARK", "JDZG")</f>
        <v>21.5</v>
      </c>
      <c r="D152">
        <f>RTD("tos.rtd", , "MARK_CHANGE", "JDZG")</f>
        <v>-28.5</v>
      </c>
      <c r="E152" t="str">
        <f>RTD("tos.rtd", , "MARK_PERCENT_CHANGE", "JDZG")</f>
        <v>-57.00%</v>
      </c>
      <c r="F152" t="str">
        <f>RTD("tos.rtd", , "VOLUME", "JDZG")</f>
        <v>N/A</v>
      </c>
      <c r="G152">
        <f>RTD("tos.rtd", , "BID", "JDZG")</f>
        <v>19</v>
      </c>
      <c r="H152">
        <f>RTD("tos.rtd", , "ASK", "JDZG")</f>
        <v>21.5</v>
      </c>
      <c r="I152" t="str">
        <f>RTD("tos.rtd", , "MARKET_CAP", "JDZG")</f>
        <v>274 M</v>
      </c>
      <c r="J152" t="str">
        <f>RTD("tos.rtd", , "CUSTOM3", "JDZG")</f>
        <v>loading</v>
      </c>
      <c r="K152" t="str">
        <f>RTD("tos.rtd", , "CUSTOM2", "JDZG")</f>
        <v>loading</v>
      </c>
    </row>
    <row r="153" spans="1:11" x14ac:dyDescent="0.25">
      <c r="A153" t="s">
        <v>149</v>
      </c>
      <c r="B153" t="str">
        <f>RTD("tos.rtd", , "DESCRIPTION", "ULCC")</f>
        <v>FRONTIER GROUP HLDGS</v>
      </c>
      <c r="C153">
        <f>RTD("tos.rtd", , "MARK", "ULCC")</f>
        <v>7.82</v>
      </c>
      <c r="D153">
        <f>RTD("tos.rtd", , "MARK_CHANGE", "ULCC")</f>
        <v>0.32</v>
      </c>
      <c r="E153" t="str">
        <f>RTD("tos.rtd", , "MARK_PERCENT_CHANGE", "ULCC")</f>
        <v>+4.27%</v>
      </c>
      <c r="F153">
        <f>RTD("tos.rtd", , "VOLUME", "ULCC")</f>
        <v>1567876</v>
      </c>
      <c r="G153">
        <f>RTD("tos.rtd", , "BID", "ULCC")</f>
        <v>7.82</v>
      </c>
      <c r="H153">
        <f>RTD("tos.rtd", , "ASK", "ULCC")</f>
        <v>7.83</v>
      </c>
      <c r="I153" t="str">
        <f>RTD("tos.rtd", , "MARKET_CAP", "ULCC")</f>
        <v>1,797 M</v>
      </c>
      <c r="J153" t="str">
        <f>RTD("tos.rtd", , "CUSTOM3", "ULCC")</f>
        <v>loading</v>
      </c>
      <c r="K153" t="str">
        <f>RTD("tos.rtd", , "CUSTOM2", "ULCC")</f>
        <v>loading</v>
      </c>
    </row>
    <row r="154" spans="1:11" x14ac:dyDescent="0.25">
      <c r="A154" t="s">
        <v>150</v>
      </c>
      <c r="B154" t="str">
        <f>RTD("tos.rtd", , "DESCRIPTION", "QNCX")</f>
        <v>QUINCE THERAPEUTICS</v>
      </c>
      <c r="C154">
        <f>RTD("tos.rtd", , "MARK", "QNCX")</f>
        <v>17.46</v>
      </c>
      <c r="D154">
        <f>RTD("tos.rtd", , "MARK_CHANGE", "QNCX")</f>
        <v>16.539400000000001</v>
      </c>
      <c r="E154" t="str">
        <f>RTD("tos.rtd", , "MARK_PERCENT_CHANGE", "QNCX")</f>
        <v>+1796.59%</v>
      </c>
      <c r="F154">
        <f>RTD("tos.rtd", , "VOLUME", "QNCX")</f>
        <v>78799</v>
      </c>
      <c r="G154">
        <f>RTD("tos.rtd", , "BID", "QNCX")</f>
        <v>17.46</v>
      </c>
      <c r="H154">
        <f>RTD("tos.rtd", , "ASK", "QNCX")</f>
        <v>18.29</v>
      </c>
      <c r="I154" t="str">
        <f>RTD("tos.rtd", , "MARKET_CAP", "QNCX")</f>
        <v>17 M</v>
      </c>
      <c r="J154" t="str">
        <f>RTD("tos.rtd", , "CUSTOM3", "QNCX")</f>
        <v>loading</v>
      </c>
      <c r="K154" t="str">
        <f>RTD("tos.rtd", , "CUSTOM2", "QNCX")</f>
        <v>loading</v>
      </c>
    </row>
    <row r="155" spans="1:11" x14ac:dyDescent="0.25">
      <c r="A155" t="s">
        <v>151</v>
      </c>
      <c r="B155" t="str">
        <f>RTD("tos.rtd", , "DESCRIPTION", "SHLS")</f>
        <v>SHOALS TECHNOLOGIES A</v>
      </c>
      <c r="C155">
        <f>RTD("tos.rtd", , "MARK", "SHLS")</f>
        <v>9.89</v>
      </c>
      <c r="D155">
        <f>RTD("tos.rtd", , "MARK_CHANGE", "SHLS")</f>
        <v>0.6</v>
      </c>
      <c r="E155" t="str">
        <f>RTD("tos.rtd", , "MARK_PERCENT_CHANGE", "SHLS")</f>
        <v>+6.46%</v>
      </c>
      <c r="F155">
        <f>RTD("tos.rtd", , "VOLUME", "SHLS")</f>
        <v>2464124</v>
      </c>
      <c r="G155">
        <f>RTD("tos.rtd", , "BID", "SHLS")</f>
        <v>9.8800000000000008</v>
      </c>
      <c r="H155">
        <f>RTD("tos.rtd", , "ASK", "SHLS")</f>
        <v>9.9</v>
      </c>
      <c r="I155" t="str">
        <f>RTD("tos.rtd", , "MARKET_CAP", "SHLS")</f>
        <v>1,659 M</v>
      </c>
      <c r="J155" t="str">
        <f>RTD("tos.rtd", , "CUSTOM3", "SHLS")</f>
        <v>loading</v>
      </c>
      <c r="K155" t="str">
        <f>RTD("tos.rtd", , "CUSTOM2", "SHLS")</f>
        <v>loading</v>
      </c>
    </row>
    <row r="156" spans="1:11" x14ac:dyDescent="0.25">
      <c r="A156" t="s">
        <v>51</v>
      </c>
      <c r="B156" t="str">
        <f>RTD("tos.rtd", , "DESCRIPTION", "GLND")</f>
        <v>GREENLAND ENERGY CO</v>
      </c>
      <c r="C156">
        <f>RTD("tos.rtd", , "MARK", "GLND")</f>
        <v>2.1549999999999998</v>
      </c>
      <c r="D156">
        <f>RTD("tos.rtd", , "MARK_CHANGE", "GLND")</f>
        <v>-0.19500000000000001</v>
      </c>
      <c r="E156" t="str">
        <f>RTD("tos.rtd", , "MARK_PERCENT_CHANGE", "GLND")</f>
        <v>-8.30%</v>
      </c>
      <c r="F156">
        <f>RTD("tos.rtd", , "VOLUME", "GLND")</f>
        <v>1309532</v>
      </c>
      <c r="G156">
        <f>RTD("tos.rtd", , "BID", "GLND")</f>
        <v>2.15</v>
      </c>
      <c r="H156">
        <f>RTD("tos.rtd", , "ASK", "GLND")</f>
        <v>2.16</v>
      </c>
      <c r="I156" t="str">
        <f>RTD("tos.rtd", , "MARKET_CAP", "GLND")</f>
        <v>94 M</v>
      </c>
      <c r="J156" t="str">
        <f>RTD("tos.rtd", , "CUSTOM3", "GLND")</f>
        <v>loading</v>
      </c>
      <c r="K156">
        <f>RTD("tos.rtd", , "CUSTOM2", "GLND")</f>
        <v>46.75</v>
      </c>
    </row>
    <row r="157" spans="1:11" x14ac:dyDescent="0.25">
      <c r="A157" t="s">
        <v>152</v>
      </c>
      <c r="B157" t="str">
        <f>RTD("tos.rtd", , "DESCRIPTION", "CTOS")</f>
        <v>CUSTOM TRUCK ONE SOU</v>
      </c>
      <c r="C157">
        <f>RTD("tos.rtd", , "MARK", "CTOS")</f>
        <v>11.824999999999999</v>
      </c>
      <c r="D157">
        <f>RTD("tos.rtd", , "MARK_CHANGE", "CTOS")</f>
        <v>-0.125</v>
      </c>
      <c r="E157" t="str">
        <f>RTD("tos.rtd", , "MARK_PERCENT_CHANGE", "CTOS")</f>
        <v>-1.05%</v>
      </c>
      <c r="F157">
        <f>RTD("tos.rtd", , "VOLUME", "CTOS")</f>
        <v>295553</v>
      </c>
      <c r="G157">
        <f>RTD("tos.rtd", , "BID", "CTOS")</f>
        <v>11.82</v>
      </c>
      <c r="H157">
        <f>RTD("tos.rtd", , "ASK", "CTOS")</f>
        <v>11.83</v>
      </c>
      <c r="I157" t="str">
        <f>RTD("tos.rtd", , "MARKET_CAP", "CTOS")</f>
        <v>2,689 M</v>
      </c>
      <c r="J157" t="str">
        <f>RTD("tos.rtd", , "CUSTOM3", "CTOS")</f>
        <v>loading</v>
      </c>
      <c r="K157" t="str">
        <f>RTD("tos.rtd", , "CUSTOM2", "CTOS")</f>
        <v>loading</v>
      </c>
    </row>
    <row r="158" spans="1:11" x14ac:dyDescent="0.25">
      <c r="A158" t="s">
        <v>153</v>
      </c>
      <c r="B158" t="str">
        <f>RTD("tos.rtd", , "DESCRIPTION", "FRMI")</f>
        <v>FERMI INC</v>
      </c>
      <c r="C158">
        <f>RTD("tos.rtd", , "MARK", "FRMI")</f>
        <v>9.0649999999999995</v>
      </c>
      <c r="D158">
        <f>RTD("tos.rtd", , "MARK_CHANGE", "FRMI")</f>
        <v>-0.38500000000000001</v>
      </c>
      <c r="E158" t="str">
        <f>RTD("tos.rtd", , "MARK_PERCENT_CHANGE", "FRMI")</f>
        <v>-4.07%</v>
      </c>
      <c r="F158">
        <f>RTD("tos.rtd", , "VOLUME", "FRMI")</f>
        <v>6871585</v>
      </c>
      <c r="G158">
        <f>RTD("tos.rtd", , "BID", "FRMI")</f>
        <v>9.06</v>
      </c>
      <c r="H158">
        <f>RTD("tos.rtd", , "ASK", "FRMI")</f>
        <v>9.07</v>
      </c>
      <c r="I158" t="str">
        <f>RTD("tos.rtd", , "MARKET_CAP", "FRMI")</f>
        <v>5,784 M</v>
      </c>
      <c r="J158" t="str">
        <f>RTD("tos.rtd", , "CUSTOM3", "FRMI")</f>
        <v>loading</v>
      </c>
      <c r="K158" t="str">
        <f>RTD("tos.rtd", , "CUSTOM2", "FRMI")</f>
        <v>loading</v>
      </c>
    </row>
    <row r="159" spans="1:11" x14ac:dyDescent="0.25">
      <c r="A159" t="s">
        <v>154</v>
      </c>
      <c r="B159" t="str">
        <f>RTD("tos.rtd", , "DESCRIPTION", "AMBP")</f>
        <v>ARDAGH METAL PACKAGI</v>
      </c>
      <c r="C159">
        <f>RTD("tos.rtd", , "MARK", "AMBP")</f>
        <v>4.71</v>
      </c>
      <c r="D159">
        <f>RTD("tos.rtd", , "MARK_CHANGE", "AMBP")</f>
        <v>0.12</v>
      </c>
      <c r="E159" t="str">
        <f>RTD("tos.rtd", , "MARK_PERCENT_CHANGE", "AMBP")</f>
        <v>+2.61%</v>
      </c>
      <c r="F159">
        <f>RTD("tos.rtd", , "VOLUME", "AMBP")</f>
        <v>1802401</v>
      </c>
      <c r="G159">
        <f>RTD("tos.rtd", , "BID", "AMBP")</f>
        <v>4.7</v>
      </c>
      <c r="H159">
        <f>RTD("tos.rtd", , "ASK", "AMBP")</f>
        <v>4.71</v>
      </c>
      <c r="I159" t="str">
        <f>RTD("tos.rtd", , "MARKET_CAP", "AMBP")</f>
        <v>2,815 M</v>
      </c>
      <c r="J159" t="str">
        <f>RTD("tos.rtd", , "CUSTOM3", "AMBP")</f>
        <v>loading</v>
      </c>
      <c r="K159" t="str">
        <f>RTD("tos.rtd", , "CUSTOM2", "AMBP")</f>
        <v>loading</v>
      </c>
    </row>
    <row r="160" spans="1:11" x14ac:dyDescent="0.25">
      <c r="A160" t="s">
        <v>155</v>
      </c>
      <c r="B160" t="str">
        <f>RTD("tos.rtd", , "DESCRIPTION", "GNPX")</f>
        <v>GENPREX INC</v>
      </c>
      <c r="C160">
        <f>RTD("tos.rtd", , "MARK", "GNPX")</f>
        <v>0.49969999999999998</v>
      </c>
      <c r="D160">
        <f>RTD("tos.rtd", , "MARK_CHANGE", "GNPX")</f>
        <v>-5.3E-3</v>
      </c>
      <c r="E160" t="str">
        <f>RTD("tos.rtd", , "MARK_PERCENT_CHANGE", "GNPX")</f>
        <v>-1.05%</v>
      </c>
      <c r="F160">
        <f>RTD("tos.rtd", , "VOLUME", "GNPX")</f>
        <v>85071</v>
      </c>
      <c r="G160">
        <f>RTD("tos.rtd", , "BID", "GNPX")</f>
        <v>0.4995</v>
      </c>
      <c r="H160">
        <f>RTD("tos.rtd", , "ASK", "GNPX")</f>
        <v>0.50980000000000003</v>
      </c>
      <c r="I160" t="str">
        <f>RTD("tos.rtd", , "MARKET_CAP", "GNPX")</f>
        <v>5.5 M</v>
      </c>
      <c r="J160" t="str">
        <f>RTD("tos.rtd", , "CUSTOM3", "GNPX")</f>
        <v>loading</v>
      </c>
      <c r="K160" t="str">
        <f>RTD("tos.rtd", , "CUSTOM2", "GNPX")</f>
        <v>loading</v>
      </c>
    </row>
    <row r="161" spans="1:11" x14ac:dyDescent="0.25">
      <c r="A161" t="s">
        <v>43</v>
      </c>
      <c r="B161" t="str">
        <f>RTD("tos.rtd", , "DESCRIPTION", "INDI")</f>
        <v>INDIE SEMICONDUCTOR A</v>
      </c>
      <c r="C161">
        <f>RTD("tos.rtd", , "MARK", "INDI")</f>
        <v>4.3150000000000004</v>
      </c>
      <c r="D161">
        <f>RTD("tos.rtd", , "MARK_CHANGE", "INDI")</f>
        <v>0.55500000000000005</v>
      </c>
      <c r="E161" t="str">
        <f>RTD("tos.rtd", , "MARK_PERCENT_CHANGE", "INDI")</f>
        <v>+14.76%</v>
      </c>
      <c r="F161">
        <f>RTD("tos.rtd", , "VOLUME", "INDI")</f>
        <v>8051212</v>
      </c>
      <c r="G161">
        <f>RTD("tos.rtd", , "BID", "INDI")</f>
        <v>4.3099999999999996</v>
      </c>
      <c r="H161">
        <f>RTD("tos.rtd", , "ASK", "INDI")</f>
        <v>4.32</v>
      </c>
      <c r="I161" t="str">
        <f>RTD("tos.rtd", , "MARKET_CAP", "INDI")</f>
        <v>912 M</v>
      </c>
      <c r="J161" t="str">
        <f>RTD("tos.rtd", , "CUSTOM3", "INDI")</f>
        <v>loading</v>
      </c>
      <c r="K161" t="str">
        <f>RTD("tos.rtd", , "CUSTOM2", "INDI")</f>
        <v>loading</v>
      </c>
    </row>
    <row r="162" spans="1:11" x14ac:dyDescent="0.25">
      <c r="A162" t="s">
        <v>34</v>
      </c>
      <c r="B162" t="str">
        <f>RTD("tos.rtd", , "DESCRIPTION", "RENX")</f>
        <v>RENX ENTERPRISES COR</v>
      </c>
      <c r="C162">
        <f>RTD("tos.rtd", , "MARK", "RENX")</f>
        <v>1.82</v>
      </c>
      <c r="D162">
        <f>RTD("tos.rtd", , "MARK_CHANGE", "RENX")</f>
        <v>-0.1</v>
      </c>
      <c r="E162" t="str">
        <f>RTD("tos.rtd", , "MARK_PERCENT_CHANGE", "RENX")</f>
        <v>-5.21%</v>
      </c>
      <c r="F162">
        <f>RTD("tos.rtd", , "VOLUME", "RENX")</f>
        <v>22392</v>
      </c>
      <c r="G162">
        <f>RTD("tos.rtd", , "BID", "RENX")</f>
        <v>1.8</v>
      </c>
      <c r="H162">
        <f>RTD("tos.rtd", , "ASK", "RENX")</f>
        <v>1.85</v>
      </c>
      <c r="I162" t="str">
        <f>RTD("tos.rtd", , "MARKET_CAP", "RENX")</f>
        <v>4.8 M</v>
      </c>
      <c r="J162" t="str">
        <f>RTD("tos.rtd", , "CUSTOM3", "RENX")</f>
        <v>loading</v>
      </c>
      <c r="K162" t="str">
        <f>RTD("tos.rtd", , "CUSTOM2", "RENX")</f>
        <v>loading</v>
      </c>
    </row>
    <row r="163" spans="1:11" x14ac:dyDescent="0.25">
      <c r="A163" t="s">
        <v>49</v>
      </c>
      <c r="B163" t="str">
        <f>RTD("tos.rtd", , "DESCRIPTION", "INV")</f>
        <v>INNVENTURE INC</v>
      </c>
      <c r="C163">
        <f>RTD("tos.rtd", , "MARK", "INV")</f>
        <v>5.0199999999999996</v>
      </c>
      <c r="D163">
        <f>RTD("tos.rtd", , "MARK_CHANGE", "INV")</f>
        <v>-0.21</v>
      </c>
      <c r="E163" t="str">
        <f>RTD("tos.rtd", , "MARK_PERCENT_CHANGE", "INV")</f>
        <v>-4.02%</v>
      </c>
      <c r="F163">
        <f>RTD("tos.rtd", , "VOLUME", "INV")</f>
        <v>1008691</v>
      </c>
      <c r="G163">
        <f>RTD("tos.rtd", , "BID", "INV")</f>
        <v>5.0199999999999996</v>
      </c>
      <c r="H163">
        <f>RTD("tos.rtd", , "ASK", "INV")</f>
        <v>5.03</v>
      </c>
      <c r="I163" t="str">
        <f>RTD("tos.rtd", , "MARKET_CAP", "INV")</f>
        <v>422 M</v>
      </c>
      <c r="J163" t="str">
        <f>RTD("tos.rtd", , "CUSTOM3", "INV")</f>
        <v>loading</v>
      </c>
      <c r="K163" t="str">
        <f>RTD("tos.rtd", , "CUSTOM2", "INV")</f>
        <v>loading</v>
      </c>
    </row>
    <row r="164" spans="1:11" x14ac:dyDescent="0.25">
      <c r="A164" t="s">
        <v>156</v>
      </c>
      <c r="B164" t="str">
        <f>RTD("tos.rtd", , "DESCRIPTION", "FULC")</f>
        <v>FULCRUM THERAPEUTICS</v>
      </c>
      <c r="C164">
        <f>RTD("tos.rtd", , "MARK", "FULC")</f>
        <v>3.915</v>
      </c>
      <c r="D164">
        <f>RTD("tos.rtd", , "MARK_CHANGE", "FULC")</f>
        <v>0.185</v>
      </c>
      <c r="E164" t="str">
        <f>RTD("tos.rtd", , "MARK_PERCENT_CHANGE", "FULC")</f>
        <v>+4.96%</v>
      </c>
      <c r="F164">
        <f>RTD("tos.rtd", , "VOLUME", "FULC")</f>
        <v>611315</v>
      </c>
      <c r="G164">
        <f>RTD("tos.rtd", , "BID", "FULC")</f>
        <v>3.91</v>
      </c>
      <c r="H164">
        <f>RTD("tos.rtd", , "ASK", "FULC")</f>
        <v>3.92</v>
      </c>
      <c r="I164" t="str">
        <f>RTD("tos.rtd", , "MARKET_CAP", "FULC")</f>
        <v>261 M</v>
      </c>
      <c r="J164" t="str">
        <f>RTD("tos.rtd", , "CUSTOM3", "FULC")</f>
        <v>loading</v>
      </c>
      <c r="K164" t="str">
        <f>RTD("tos.rtd", , "CUSTOM2", "FULC")</f>
        <v>loading</v>
      </c>
    </row>
    <row r="165" spans="1:11" x14ac:dyDescent="0.25">
      <c r="A165" t="s">
        <v>157</v>
      </c>
      <c r="B165" t="str">
        <f>RTD("tos.rtd", , "DESCRIPTION", "RES")</f>
        <v>RPC INC</v>
      </c>
      <c r="C165">
        <f>RTD("tos.rtd", , "MARK", "RES")</f>
        <v>5.77</v>
      </c>
      <c r="D165">
        <f>RTD("tos.rtd", , "MARK_CHANGE", "RES")</f>
        <v>-0.04</v>
      </c>
      <c r="E165" t="str">
        <f>RTD("tos.rtd", , "MARK_PERCENT_CHANGE", "RES")</f>
        <v>-0.69%</v>
      </c>
      <c r="F165">
        <f>RTD("tos.rtd", , "VOLUME", "RES")</f>
        <v>438476</v>
      </c>
      <c r="G165">
        <f>RTD("tos.rtd", , "BID", "RES")</f>
        <v>5.76</v>
      </c>
      <c r="H165">
        <f>RTD("tos.rtd", , "ASK", "RES")</f>
        <v>5.77</v>
      </c>
      <c r="I165" t="str">
        <f>RTD("tos.rtd", , "MARKET_CAP", "RES")</f>
        <v>1,279 M</v>
      </c>
      <c r="J165" t="str">
        <f>RTD("tos.rtd", , "CUSTOM3", "RES")</f>
        <v>loading</v>
      </c>
      <c r="K165" t="str">
        <f>RTD("tos.rtd", , "CUSTOM2", "RES")</f>
        <v>loading</v>
      </c>
    </row>
    <row r="166" spans="1:11" x14ac:dyDescent="0.25">
      <c r="A166" t="s">
        <v>158</v>
      </c>
      <c r="B166" t="str">
        <f>RTD("tos.rtd", , "DESCRIPTION", "ZNTL")</f>
        <v>ZENTALIS PHARMACEUTI</v>
      </c>
      <c r="C166">
        <f>RTD("tos.rtd", , "MARK", "ZNTL")</f>
        <v>4.91</v>
      </c>
      <c r="D166">
        <f>RTD("tos.rtd", , "MARK_CHANGE", "ZNTL")</f>
        <v>0.3</v>
      </c>
      <c r="E166" t="str">
        <f>RTD("tos.rtd", , "MARK_PERCENT_CHANGE", "ZNTL")</f>
        <v>+6.51%</v>
      </c>
      <c r="F166">
        <f>RTD("tos.rtd", , "VOLUME", "ZNTL")</f>
        <v>889532</v>
      </c>
      <c r="G166">
        <f>RTD("tos.rtd", , "BID", "ZNTL")</f>
        <v>4.91</v>
      </c>
      <c r="H166">
        <f>RTD("tos.rtd", , "ASK", "ZNTL")</f>
        <v>4.92</v>
      </c>
      <c r="I166" t="str">
        <f>RTD("tos.rtd", , "MARKET_CAP", "ZNTL")</f>
        <v>350 M</v>
      </c>
      <c r="J166" t="str">
        <f>RTD("tos.rtd", , "CUSTOM3", "ZNTL")</f>
        <v>loading</v>
      </c>
      <c r="K166" t="str">
        <f>RTD("tos.rtd", , "CUSTOM2", "ZNTL")</f>
        <v>loading</v>
      </c>
    </row>
    <row r="167" spans="1:11" x14ac:dyDescent="0.25">
      <c r="A167" t="s">
        <v>159</v>
      </c>
      <c r="B167" t="str">
        <f>RTD("tos.rtd", , "DESCRIPTION", "PCT")</f>
        <v>PURECYCLE TECHNOLOGI Equity</v>
      </c>
      <c r="C167">
        <f>RTD("tos.rtd", , "MARK", "PCT")</f>
        <v>7.8970000000000002</v>
      </c>
      <c r="D167">
        <f>RTD("tos.rtd", , "MARK_CHANGE", "PCT")</f>
        <v>0.27650000000000002</v>
      </c>
      <c r="E167" t="str">
        <f>RTD("tos.rtd", , "MARK_PERCENT_CHANGE", "PCT")</f>
        <v>+3.63%</v>
      </c>
      <c r="F167">
        <f>RTD("tos.rtd", , "VOLUME", "PCT")</f>
        <v>1582885</v>
      </c>
      <c r="G167">
        <f>RTD("tos.rtd", , "BID", "PCT")</f>
        <v>7.89</v>
      </c>
      <c r="H167">
        <f>RTD("tos.rtd", , "ASK", "PCT")</f>
        <v>7.9</v>
      </c>
      <c r="I167" t="str">
        <f>RTD("tos.rtd", , "MARKET_CAP", "PCT")</f>
        <v>1,585 M</v>
      </c>
      <c r="J167" t="str">
        <f>RTD("tos.rtd", , "CUSTOM3", "PCT")</f>
        <v>loading</v>
      </c>
      <c r="K167" t="str">
        <f>RTD("tos.rtd", , "CUSTOM2", "PCT")</f>
        <v>loading</v>
      </c>
    </row>
    <row r="168" spans="1:11" x14ac:dyDescent="0.25">
      <c r="A168" t="s">
        <v>44</v>
      </c>
      <c r="B168" t="str">
        <f>RTD("tos.rtd", , "DESCRIPTION", "TDIC")</f>
        <v>DREAMLAND LTD A</v>
      </c>
      <c r="C168">
        <f>RTD("tos.rtd", , "MARK", "TDIC")</f>
        <v>5.77</v>
      </c>
      <c r="D168">
        <f>RTD("tos.rtd", , "MARK_CHANGE", "TDIC")</f>
        <v>-0.13020000000000001</v>
      </c>
      <c r="E168" t="str">
        <f>RTD("tos.rtd", , "MARK_PERCENT_CHANGE", "TDIC")</f>
        <v>-2.21%</v>
      </c>
      <c r="F168">
        <f>RTD("tos.rtd", , "VOLUME", "TDIC")</f>
        <v>51021</v>
      </c>
      <c r="G168">
        <f>RTD("tos.rtd", , "BID", "TDIC")</f>
        <v>5.73</v>
      </c>
      <c r="H168">
        <f>RTD("tos.rtd", , "ASK", "TDIC")</f>
        <v>5.77</v>
      </c>
      <c r="I168" t="str">
        <f>RTD("tos.rtd", , "MARKET_CAP", "TDIC")</f>
        <v>8.7 M</v>
      </c>
      <c r="J168" t="str">
        <f>RTD("tos.rtd", , "CUSTOM3", "TDIC")</f>
        <v>loading</v>
      </c>
      <c r="K168" t="str">
        <f>RTD("tos.rtd", , "CUSTOM2", "TDIC")</f>
        <v>loading</v>
      </c>
    </row>
    <row r="169" spans="1:11" x14ac:dyDescent="0.25">
      <c r="A169" t="s">
        <v>42</v>
      </c>
      <c r="B169" t="str">
        <f>RTD("tos.rtd", , "DESCRIPTION", "KOPN")</f>
        <v>KOPIN CORP</v>
      </c>
      <c r="C169">
        <f>RTD("tos.rtd", , "MARK", "KOPN")</f>
        <v>4.5549999999999997</v>
      </c>
      <c r="D169">
        <f>RTD("tos.rtd", , "MARK_CHANGE", "KOPN")</f>
        <v>0.23499999999999999</v>
      </c>
      <c r="E169" t="str">
        <f>RTD("tos.rtd", , "MARK_PERCENT_CHANGE", "KOPN")</f>
        <v>+5.44%</v>
      </c>
      <c r="F169">
        <f>RTD("tos.rtd", , "VOLUME", "KOPN")</f>
        <v>2788952</v>
      </c>
      <c r="G169">
        <f>RTD("tos.rtd", , "BID", "KOPN")</f>
        <v>4.55</v>
      </c>
      <c r="H169">
        <f>RTD("tos.rtd", , "ASK", "KOPN")</f>
        <v>4.5599999999999996</v>
      </c>
      <c r="I169" t="str">
        <f>RTD("tos.rtd", , "MARKET_CAP", "KOPN")</f>
        <v>844 M</v>
      </c>
      <c r="J169" t="str">
        <f>RTD("tos.rtd", , "CUSTOM3", "KOPN")</f>
        <v>loading</v>
      </c>
      <c r="K169" t="str">
        <f>RTD("tos.rtd", , "CUSTOM2", "KOPN")</f>
        <v>loading</v>
      </c>
    </row>
    <row r="170" spans="1:11" x14ac:dyDescent="0.25">
      <c r="A170" t="s">
        <v>3</v>
      </c>
      <c r="B170" t="str">
        <f>RTD("tos.rtd", , "DESCRIPTION", "QS")</f>
        <v>QUANTUMSCAPE CORP A</v>
      </c>
      <c r="C170">
        <f>RTD("tos.rtd", , "MARK", "QS")</f>
        <v>7.5750000000000002</v>
      </c>
      <c r="D170">
        <f>RTD("tos.rtd", , "MARK_CHANGE", "QS")</f>
        <v>-1.4999999999999999E-2</v>
      </c>
      <c r="E170" t="str">
        <f>RTD("tos.rtd", , "MARK_PERCENT_CHANGE", "QS")</f>
        <v>-0.20%</v>
      </c>
      <c r="F170">
        <f>RTD("tos.rtd", , "VOLUME", "QS")</f>
        <v>11455312</v>
      </c>
      <c r="G170">
        <f>RTD("tos.rtd", , "BID", "QS")</f>
        <v>7.57</v>
      </c>
      <c r="H170">
        <f>RTD("tos.rtd", , "ASK", "QS")</f>
        <v>7.58</v>
      </c>
      <c r="I170" t="str">
        <f>RTD("tos.rtd", , "MARKET_CAP", "QS")</f>
        <v>4,660 M</v>
      </c>
      <c r="J170" t="str">
        <f>RTD("tos.rtd", , "CUSTOM3", "QS")</f>
        <v>loading</v>
      </c>
      <c r="K170" t="str">
        <f>RTD("tos.rtd", , "CUSTOM2", "QS")</f>
        <v>loading</v>
      </c>
    </row>
    <row r="171" spans="1:11" x14ac:dyDescent="0.25">
      <c r="A171" t="s">
        <v>20</v>
      </c>
      <c r="B171" t="str">
        <f>RTD("tos.rtd", , "DESCRIPTION", "MBLY")</f>
        <v>MOBILEYE GLOBAL INC A</v>
      </c>
      <c r="C171">
        <f>RTD("tos.rtd", , "MARK", "MBLY")</f>
        <v>9.2469999999999999</v>
      </c>
      <c r="D171">
        <f>RTD("tos.rtd", , "MARK_CHANGE", "MBLY")</f>
        <v>0.94740000000000002</v>
      </c>
      <c r="E171" t="str">
        <f>RTD("tos.rtd", , "MARK_PERCENT_CHANGE", "MBLY")</f>
        <v>+11.41%</v>
      </c>
      <c r="F171">
        <f>RTD("tos.rtd", , "VOLUME", "MBLY")</f>
        <v>5829975</v>
      </c>
      <c r="G171">
        <f>RTD("tos.rtd", , "BID", "MBLY")</f>
        <v>9.24</v>
      </c>
      <c r="H171">
        <f>RTD("tos.rtd", , "ASK", "MBLY")</f>
        <v>9.25</v>
      </c>
      <c r="I171" t="str">
        <f>RTD("tos.rtd", , "MARKET_CAP", "MBLY")</f>
        <v>7,788 M</v>
      </c>
      <c r="J171" t="str">
        <f>RTD("tos.rtd", , "CUSTOM3", "MBLY")</f>
        <v>loading</v>
      </c>
      <c r="K171" t="str">
        <f>RTD("tos.rtd", , "CUSTOM2", "MBLY")</f>
        <v>loading</v>
      </c>
    </row>
    <row r="172" spans="1:11" x14ac:dyDescent="0.25">
      <c r="A172" t="s">
        <v>160</v>
      </c>
      <c r="B172" t="str">
        <f>RTD("tos.rtd", , "DESCRIPTION", "UCAR")</f>
        <v>U PWR LTD A</v>
      </c>
      <c r="C172">
        <f>RTD("tos.rtd", , "MARK", "UCAR")</f>
        <v>1.22</v>
      </c>
      <c r="D172">
        <f>RTD("tos.rtd", , "MARK_CHANGE", "UCAR")</f>
        <v>0.01</v>
      </c>
      <c r="E172" t="str">
        <f>RTD("tos.rtd", , "MARK_PERCENT_CHANGE", "UCAR")</f>
        <v>+0.83%</v>
      </c>
      <c r="F172">
        <f>RTD("tos.rtd", , "VOLUME", "UCAR")</f>
        <v>80856</v>
      </c>
      <c r="G172">
        <f>RTD("tos.rtd", , "BID", "UCAR")</f>
        <v>1.21</v>
      </c>
      <c r="H172">
        <f>RTD("tos.rtd", , "ASK", "UCAR")</f>
        <v>1.23</v>
      </c>
      <c r="I172" t="str">
        <f>RTD("tos.rtd", , "MARKET_CAP", "UCAR")</f>
        <v>31 M</v>
      </c>
      <c r="J172" t="str">
        <f>RTD("tos.rtd", , "CUSTOM3", "UCAR")</f>
        <v>loading</v>
      </c>
      <c r="K172" t="str">
        <f>RTD("tos.rtd", , "CUSTOM2", "UCAR")</f>
        <v>loading</v>
      </c>
    </row>
    <row r="173" spans="1:11" x14ac:dyDescent="0.25">
      <c r="A173" t="s">
        <v>28</v>
      </c>
      <c r="B173" t="str">
        <f>RTD("tos.rtd", , "DESCRIPTION", "KEEL")</f>
        <v>KEEL INFRASTRUCTURE</v>
      </c>
      <c r="C173">
        <f>RTD("tos.rtd", , "MARK", "KEEL")</f>
        <v>5.7450000000000001</v>
      </c>
      <c r="D173">
        <f>RTD("tos.rtd", , "MARK_CHANGE", "KEEL")</f>
        <v>-3.5000000000000003E-2</v>
      </c>
      <c r="E173" t="str">
        <f>RTD("tos.rtd", , "MARK_PERCENT_CHANGE", "KEEL")</f>
        <v>-0.61%</v>
      </c>
      <c r="F173">
        <f>RTD("tos.rtd", , "VOLUME", "KEEL")</f>
        <v>20703548</v>
      </c>
      <c r="G173">
        <f>RTD("tos.rtd", , "BID", "KEEL")</f>
        <v>5.74</v>
      </c>
      <c r="H173">
        <f>RTD("tos.rtd", , "ASK", "KEEL")</f>
        <v>5.75</v>
      </c>
      <c r="I173" t="str">
        <f>RTD("tos.rtd", , "MARKET_CAP", "KEEL")</f>
        <v>3,469 M</v>
      </c>
      <c r="J173" t="str">
        <f>RTD("tos.rtd", , "CUSTOM3", "KEEL")</f>
        <v>loading</v>
      </c>
      <c r="K173" t="str">
        <f>RTD("tos.rtd", , "CUSTOM2", "KEEL")</f>
        <v>loading</v>
      </c>
    </row>
    <row r="174" spans="1:11" x14ac:dyDescent="0.25">
      <c r="A174" t="s">
        <v>65</v>
      </c>
      <c r="B174" t="str">
        <f>RTD("tos.rtd", , "DESCRIPTION", "ASTI")</f>
        <v>ASCENT SOLAR TECHNOL Equity</v>
      </c>
      <c r="C174">
        <f>RTD("tos.rtd", , "MARK", "ASTI")</f>
        <v>5.07</v>
      </c>
      <c r="D174">
        <f>RTD("tos.rtd", , "MARK_CHANGE", "ASTI")</f>
        <v>0.17</v>
      </c>
      <c r="E174" t="str">
        <f>RTD("tos.rtd", , "MARK_PERCENT_CHANGE", "ASTI")</f>
        <v>+3.47%</v>
      </c>
      <c r="F174">
        <f>RTD("tos.rtd", , "VOLUME", "ASTI")</f>
        <v>466821</v>
      </c>
      <c r="G174">
        <f>RTD("tos.rtd", , "BID", "ASTI")</f>
        <v>5.03</v>
      </c>
      <c r="H174">
        <f>RTD("tos.rtd", , "ASK", "ASTI")</f>
        <v>5.08</v>
      </c>
      <c r="I174" t="str">
        <f>RTD("tos.rtd", , "MARKET_CAP", "ASTI")</f>
        <v>48 M</v>
      </c>
      <c r="J174" t="str">
        <f>RTD("tos.rtd", , "CUSTOM3", "ASTI")</f>
        <v>loading</v>
      </c>
      <c r="K174" t="str">
        <f>RTD("tos.rtd", , "CUSTOM2", "ASTI")</f>
        <v>loading</v>
      </c>
    </row>
    <row r="175" spans="1:11" x14ac:dyDescent="0.25">
      <c r="A175" t="s">
        <v>11</v>
      </c>
      <c r="B175" t="str">
        <f>RTD("tos.rtd", , "DESCRIPTION", "REPL")</f>
        <v>REPLIMUNE GROUP INC</v>
      </c>
      <c r="C175">
        <f>RTD("tos.rtd", , "MARK", "REPL")</f>
        <v>11.26</v>
      </c>
      <c r="D175">
        <f>RTD("tos.rtd", , "MARK_CHANGE", "REPL")</f>
        <v>0.06</v>
      </c>
      <c r="E175" t="str">
        <f>RTD("tos.rtd", , "MARK_PERCENT_CHANGE", "REPL")</f>
        <v>+0.54%</v>
      </c>
      <c r="F175">
        <f>RTD("tos.rtd", , "VOLUME", "REPL")</f>
        <v>2289022</v>
      </c>
      <c r="G175">
        <f>RTD("tos.rtd", , "BID", "REPL")</f>
        <v>11.25</v>
      </c>
      <c r="H175">
        <f>RTD("tos.rtd", , "ASK", "REPL")</f>
        <v>11.27</v>
      </c>
      <c r="I175" t="str">
        <f>RTD("tos.rtd", , "MARKET_CAP", "REPL")</f>
        <v>930 M</v>
      </c>
      <c r="J175" t="str">
        <f>RTD("tos.rtd", , "CUSTOM3", "REPL")</f>
        <v>loading</v>
      </c>
      <c r="K175" t="str">
        <f>RTD("tos.rtd", , "CUSTOM2", "REPL")</f>
        <v>loading</v>
      </c>
    </row>
    <row r="176" spans="1:11" x14ac:dyDescent="0.25">
      <c r="A176" t="s">
        <v>10</v>
      </c>
      <c r="B176" t="str">
        <f>RTD("tos.rtd", , "DESCRIPTION", "YCBD")</f>
        <v>CBDMD INC</v>
      </c>
      <c r="C176">
        <f>RTD("tos.rtd", , "MARK", "YCBD")</f>
        <v>0.66900000000000004</v>
      </c>
      <c r="D176">
        <f>RTD("tos.rtd", , "MARK_CHANGE", "YCBD")</f>
        <v>-3.1E-2</v>
      </c>
      <c r="E176" t="str">
        <f>RTD("tos.rtd", , "MARK_PERCENT_CHANGE", "YCBD")</f>
        <v>-4.43%</v>
      </c>
      <c r="F176">
        <f>RTD("tos.rtd", , "VOLUME", "YCBD")</f>
        <v>48804</v>
      </c>
      <c r="G176">
        <f>RTD("tos.rtd", , "BID", "YCBD")</f>
        <v>0.66690000000000005</v>
      </c>
      <c r="H176">
        <f>RTD("tos.rtd", , "ASK", "YCBD")</f>
        <v>0.68</v>
      </c>
      <c r="I176" t="str">
        <f>RTD("tos.rtd", , "MARKET_CAP", "YCBD")</f>
        <v>7 M</v>
      </c>
      <c r="J176" t="str">
        <f>RTD("tos.rtd", , "CUSTOM3", "YCBD")</f>
        <v>loading</v>
      </c>
      <c r="K176" t="str">
        <f>RTD("tos.rtd", , "CUSTOM2", "YCBD")</f>
        <v>loading</v>
      </c>
    </row>
    <row r="177" spans="1:11" x14ac:dyDescent="0.25">
      <c r="A177" t="s">
        <v>45</v>
      </c>
      <c r="B177" t="str">
        <f>RTD("tos.rtd", , "DESCRIPTION", "ENVB")</f>
        <v>ENVERIC BIOSCIENCES</v>
      </c>
      <c r="C177">
        <f>RTD("tos.rtd", , "MARK", "ENVB")</f>
        <v>1.36</v>
      </c>
      <c r="D177">
        <f>RTD("tos.rtd", , "MARK_CHANGE", "ENVB")</f>
        <v>-1.4999999999999999E-2</v>
      </c>
      <c r="E177" t="str">
        <f>RTD("tos.rtd", , "MARK_PERCENT_CHANGE", "ENVB")</f>
        <v>-1.09%</v>
      </c>
      <c r="F177">
        <f>RTD("tos.rtd", , "VOLUME", "ENVB")</f>
        <v>56709</v>
      </c>
      <c r="G177">
        <f>RTD("tos.rtd", , "BID", "ENVB")</f>
        <v>1.36</v>
      </c>
      <c r="H177">
        <f>RTD("tos.rtd", , "ASK", "ENVB")</f>
        <v>1.4</v>
      </c>
      <c r="I177" t="str">
        <f>RTD("tos.rtd", , "MARKET_CAP", "ENVB")</f>
        <v>5.5 M</v>
      </c>
      <c r="J177" t="str">
        <f>RTD("tos.rtd", , "CUSTOM3", "ENVB")</f>
        <v>loading</v>
      </c>
      <c r="K177" t="str">
        <f>RTD("tos.rtd", , "CUSTOM2", "ENVB")</f>
        <v>loading</v>
      </c>
    </row>
    <row r="178" spans="1:11" x14ac:dyDescent="0.25">
      <c r="A178" t="s">
        <v>1</v>
      </c>
      <c r="B178" t="str">
        <f>RTD("tos.rtd", , "DESCRIPTION", "SST")</f>
        <v>SYSTEM1 INC A</v>
      </c>
      <c r="C178">
        <f>RTD("tos.rtd", , "MARK", "SST")</f>
        <v>2.4300000000000002</v>
      </c>
      <c r="D178">
        <f>RTD("tos.rtd", , "MARK_CHANGE", "SST")</f>
        <v>0.01</v>
      </c>
      <c r="E178" t="str">
        <f>RTD("tos.rtd", , "MARK_PERCENT_CHANGE", "SST")</f>
        <v>+0.41%</v>
      </c>
      <c r="F178">
        <f>RTD("tos.rtd", , "VOLUME", "SST")</f>
        <v>16677</v>
      </c>
      <c r="G178">
        <f>RTD("tos.rtd", , "BID", "SST")</f>
        <v>2.4</v>
      </c>
      <c r="H178">
        <f>RTD("tos.rtd", , "ASK", "SST")</f>
        <v>2.4500000000000002</v>
      </c>
      <c r="I178" t="str">
        <f>RTD("tos.rtd", , "MARKET_CAP", "SST")</f>
        <v>20 M</v>
      </c>
      <c r="J178" t="str">
        <f>RTD("tos.rtd", , "CUSTOM3", "SST")</f>
        <v>loading</v>
      </c>
      <c r="K178" t="str">
        <f>RTD("tos.rtd", , "CUSTOM2", "SST")</f>
        <v>loading</v>
      </c>
    </row>
    <row r="179" spans="1:11" x14ac:dyDescent="0.25">
      <c r="A179" t="s">
        <v>6</v>
      </c>
      <c r="B179" t="str">
        <f>RTD("tos.rtd", , "DESCRIPTION", "AIXI")</f>
        <v>XIAO-I CORP ADR</v>
      </c>
      <c r="C179">
        <f>RTD("tos.rtd", , "MARK", "AIXI")</f>
        <v>1.98</v>
      </c>
      <c r="D179">
        <f>RTD("tos.rtd", , "MARK_CHANGE", "AIXI")</f>
        <v>0.03</v>
      </c>
      <c r="E179" t="str">
        <f>RTD("tos.rtd", , "MARK_PERCENT_CHANGE", "AIXI")</f>
        <v>+1.54%</v>
      </c>
      <c r="F179">
        <f>RTD("tos.rtd", , "VOLUME", "AIXI")</f>
        <v>105999</v>
      </c>
      <c r="G179">
        <f>RTD("tos.rtd", , "BID", "AIXI")</f>
        <v>1.95</v>
      </c>
      <c r="H179">
        <f>RTD("tos.rtd", , "ASK", "AIXI")</f>
        <v>1.98</v>
      </c>
      <c r="I179" t="str">
        <f>RTD("tos.rtd", , "MARKET_CAP", "AIXI")</f>
        <v>1.8 M</v>
      </c>
      <c r="J179" t="str">
        <f>RTD("tos.rtd", , "CUSTOM3", "AIXI")</f>
        <v>loading</v>
      </c>
      <c r="K179" t="str">
        <f>RTD("tos.rtd", , "CUSTOM2", "AIXI")</f>
        <v>loading</v>
      </c>
    </row>
    <row r="180" spans="1:11" x14ac:dyDescent="0.25">
      <c r="A180" t="s">
        <v>12</v>
      </c>
      <c r="B180" t="str">
        <f>RTD("tos.rtd", , "DESCRIPTION", "CPIX")</f>
        <v>CUMBERLAND PHARMACEU</v>
      </c>
      <c r="C180">
        <f>RTD("tos.rtd", , "MARK", "CPIX")</f>
        <v>6.69</v>
      </c>
      <c r="D180">
        <f>RTD("tos.rtd", , "MARK_CHANGE", "CPIX")</f>
        <v>-0.15</v>
      </c>
      <c r="E180" t="str">
        <f>RTD("tos.rtd", , "MARK_PERCENT_CHANGE", "CPIX")</f>
        <v>-2.19%</v>
      </c>
      <c r="F180">
        <f>RTD("tos.rtd", , "VOLUME", "CPIX")</f>
        <v>24283</v>
      </c>
      <c r="G180">
        <f>RTD("tos.rtd", , "BID", "CPIX")</f>
        <v>6.61</v>
      </c>
      <c r="H180">
        <f>RTD("tos.rtd", , "ASK", "CPIX")</f>
        <v>6.7</v>
      </c>
      <c r="I180" t="str">
        <f>RTD("tos.rtd", , "MARKET_CAP", "CPIX")</f>
        <v>100 M</v>
      </c>
      <c r="J180" t="str">
        <f>RTD("tos.rtd", , "CUSTOM3", "CPIX")</f>
        <v>loading</v>
      </c>
      <c r="K180" t="str">
        <f>RTD("tos.rtd", , "CUSTOM2", "CPIX")</f>
        <v>loading</v>
      </c>
    </row>
    <row r="181" spans="1:11" x14ac:dyDescent="0.25">
      <c r="A181" t="s">
        <v>7</v>
      </c>
      <c r="B181" t="str">
        <f>RTD("tos.rtd", , "DESCRIPTION", "AUUD")</f>
        <v>AUDDIA INC</v>
      </c>
      <c r="C181">
        <f>RTD("tos.rtd", , "MARK", "AUUD")</f>
        <v>1.31</v>
      </c>
      <c r="D181">
        <f>RTD("tos.rtd", , "MARK_CHANGE", "AUUD")</f>
        <v>0.05</v>
      </c>
      <c r="E181" t="str">
        <f>RTD("tos.rtd", , "MARK_PERCENT_CHANGE", "AUUD")</f>
        <v>+3.97%</v>
      </c>
      <c r="F181">
        <f>RTD("tos.rtd", , "VOLUME", "AUUD")</f>
        <v>406732</v>
      </c>
      <c r="G181">
        <f>RTD("tos.rtd", , "BID", "AUUD")</f>
        <v>1.3</v>
      </c>
      <c r="H181">
        <f>RTD("tos.rtd", , "ASK", "AUUD")</f>
        <v>1.31</v>
      </c>
      <c r="I181" t="str">
        <f>RTD("tos.rtd", , "MARKET_CAP", "AUUD")</f>
        <v>7 M</v>
      </c>
      <c r="J181" t="str">
        <f>RTD("tos.rtd", , "CUSTOM3", "AUUD")</f>
        <v>loading</v>
      </c>
      <c r="K181" t="str">
        <f>RTD("tos.rtd", , "CUSTOM2", "AUUD")</f>
        <v>loading</v>
      </c>
    </row>
    <row r="182" spans="1:11" x14ac:dyDescent="0.25">
      <c r="A182" t="s">
        <v>161</v>
      </c>
      <c r="B182" t="str">
        <f>RTD("tos.rtd", , "DESCRIPTION", "IPST")</f>
        <v>IP STRATEGY HLDGS IN</v>
      </c>
      <c r="C182">
        <f>RTD("tos.rtd", , "MARK", "IPST")</f>
        <v>2.4298999999999999</v>
      </c>
      <c r="D182">
        <f>RTD("tos.rtd", , "MARK_CHANGE", "IPST")</f>
        <v>-0.21010000000000001</v>
      </c>
      <c r="E182" t="str">
        <f>RTD("tos.rtd", , "MARK_PERCENT_CHANGE", "IPST")</f>
        <v>-7.96%</v>
      </c>
      <c r="F182">
        <f>RTD("tos.rtd", , "VOLUME", "IPST")</f>
        <v>34989</v>
      </c>
      <c r="G182">
        <f>RTD("tos.rtd", , "BID", "IPST")</f>
        <v>2.2999999999999998</v>
      </c>
      <c r="H182">
        <f>RTD("tos.rtd", , "ASK", "IPST")</f>
        <v>2.4300000000000002</v>
      </c>
      <c r="I182" t="str">
        <f>RTD("tos.rtd", , "MARKET_CAP", "IPST")</f>
        <v>1.8 M</v>
      </c>
      <c r="J182" t="str">
        <f>RTD("tos.rtd", , "CUSTOM3", "IPST")</f>
        <v>loading</v>
      </c>
      <c r="K182" t="str">
        <f>RTD("tos.rtd", , "CUSTOM2", "IPST")</f>
        <v>loading</v>
      </c>
    </row>
    <row r="183" spans="1:11" x14ac:dyDescent="0.25">
      <c r="A183" t="s">
        <v>9</v>
      </c>
      <c r="B183" t="str">
        <f>RTD("tos.rtd", , "DESCRIPTION", "NPT")</f>
        <v>TEXXON HLDG LTD</v>
      </c>
      <c r="C183">
        <f>RTD("tos.rtd", , "MARK", "NPT")</f>
        <v>2.2810000000000001</v>
      </c>
      <c r="D183">
        <f>RTD("tos.rtd", , "MARK_CHANGE", "NPT")</f>
        <v>2.1000000000000001E-2</v>
      </c>
      <c r="E183" t="str">
        <f>RTD("tos.rtd", , "MARK_PERCENT_CHANGE", "NPT")</f>
        <v>+0.93%</v>
      </c>
      <c r="F183">
        <f>RTD("tos.rtd", , "VOLUME", "NPT")</f>
        <v>7580</v>
      </c>
      <c r="G183">
        <f>RTD("tos.rtd", , "BID", "NPT")</f>
        <v>2.2799999999999998</v>
      </c>
      <c r="H183">
        <f>RTD("tos.rtd", , "ASK", "NPT")</f>
        <v>2.34</v>
      </c>
      <c r="I183" t="str">
        <f>RTD("tos.rtd", , "MARKET_CAP", "NPT")</f>
        <v>51 M</v>
      </c>
      <c r="J183" t="str">
        <f>RTD("tos.rtd", , "CUSTOM3", "NPT")</f>
        <v>loading</v>
      </c>
      <c r="K183" t="str">
        <f>RTD("tos.rtd", , "CUSTOM2", "NPT")</f>
        <v>loading</v>
      </c>
    </row>
    <row r="184" spans="1:11" x14ac:dyDescent="0.25">
      <c r="A184" t="s">
        <v>26</v>
      </c>
      <c r="B184" t="str">
        <f>RTD("tos.rtd", , "DESCRIPTION", "AGPU")</f>
        <v>AXE COMPUTE INC</v>
      </c>
      <c r="C184">
        <f>RTD("tos.rtd", , "MARK", "AGPU")</f>
        <v>7.6710000000000003</v>
      </c>
      <c r="D184">
        <f>RTD("tos.rtd", , "MARK_CHANGE", "AGPU")</f>
        <v>0.13089999999999999</v>
      </c>
      <c r="E184" t="str">
        <f>RTD("tos.rtd", , "MARK_PERCENT_CHANGE", "AGPU")</f>
        <v>+1.74%</v>
      </c>
      <c r="F184">
        <f>RTD("tos.rtd", , "VOLUME", "AGPU")</f>
        <v>42405</v>
      </c>
      <c r="G184">
        <f>RTD("tos.rtd", , "BID", "AGPU")</f>
        <v>7.67</v>
      </c>
      <c r="H184">
        <f>RTD("tos.rtd", , "ASK", "AGPU")</f>
        <v>7.77</v>
      </c>
      <c r="I184" t="str">
        <f>RTD("tos.rtd", , "MARKET_CAP", "AGPU")</f>
        <v>83 M</v>
      </c>
      <c r="J184" t="str">
        <f>RTD("tos.rtd", , "CUSTOM3", "AGPU")</f>
        <v>loading</v>
      </c>
      <c r="K184" t="str">
        <f>RTD("tos.rtd", , "CUSTOM2", "AGPU")</f>
        <v>loading</v>
      </c>
    </row>
    <row r="185" spans="1:11" x14ac:dyDescent="0.25">
      <c r="A185" t="s">
        <v>103</v>
      </c>
      <c r="B185" t="str">
        <f>RTD("tos.rtd", , "DESCRIPTION", "NMAX")</f>
        <v>NEWSMAX INC B</v>
      </c>
      <c r="C185">
        <f>RTD("tos.rtd", , "MARK", "NMAX")</f>
        <v>8.2899999999999991</v>
      </c>
      <c r="D185">
        <f>RTD("tos.rtd", , "MARK_CHANGE", "NMAX")</f>
        <v>0.51</v>
      </c>
      <c r="E185" t="str">
        <f>RTD("tos.rtd", , "MARK_PERCENT_CHANGE", "NMAX")</f>
        <v>+6.56%</v>
      </c>
      <c r="F185">
        <f>RTD("tos.rtd", , "VOLUME", "NMAX")</f>
        <v>763023</v>
      </c>
      <c r="G185">
        <f>RTD("tos.rtd", , "BID", "NMAX")</f>
        <v>8.2799999999999994</v>
      </c>
      <c r="H185">
        <f>RTD("tos.rtd", , "ASK", "NMAX")</f>
        <v>8.3000000000000007</v>
      </c>
      <c r="I185" t="str">
        <f>RTD("tos.rtd", , "MARKET_CAP", "NMAX")</f>
        <v>1,071 M</v>
      </c>
      <c r="J185" t="str">
        <f>RTD("tos.rtd", , "CUSTOM3", "NMAX")</f>
        <v>loading</v>
      </c>
      <c r="K185" t="str">
        <f>RTD("tos.rtd", , "CUSTOM2", "NMAX")</f>
        <v>loading</v>
      </c>
    </row>
    <row r="186" spans="1:11" x14ac:dyDescent="0.25">
      <c r="A186" t="s">
        <v>84</v>
      </c>
      <c r="B186" t="str">
        <f>RTD("tos.rtd", , "DESCRIPTION", "LPL")</f>
        <v>LG DISPLAY CO LTD ADR</v>
      </c>
      <c r="C186">
        <f>RTD("tos.rtd", , "MARK", "LPL")</f>
        <v>3.8450000000000002</v>
      </c>
      <c r="D186">
        <f>RTD("tos.rtd", , "MARK_CHANGE", "LPL")</f>
        <v>-0.125</v>
      </c>
      <c r="E186" t="str">
        <f>RTD("tos.rtd", , "MARK_PERCENT_CHANGE", "LPL")</f>
        <v>-3.15%</v>
      </c>
      <c r="F186">
        <f>RTD("tos.rtd", , "VOLUME", "LPL")</f>
        <v>1137765</v>
      </c>
      <c r="G186">
        <f>RTD("tos.rtd", , "BID", "LPL")</f>
        <v>3.84</v>
      </c>
      <c r="H186">
        <f>RTD("tos.rtd", , "ASK", "LPL")</f>
        <v>3.85</v>
      </c>
      <c r="I186" t="str">
        <f>RTD("tos.rtd", , "MARKET_CAP", "LPL")</f>
        <v>3,845 M</v>
      </c>
      <c r="J186" t="str">
        <f>RTD("tos.rtd", , "CUSTOM3", "LPL")</f>
        <v>loading</v>
      </c>
      <c r="K186" t="str">
        <f>RTD("tos.rtd", , "CUSTOM2", "LPL")</f>
        <v>loading</v>
      </c>
    </row>
    <row r="187" spans="1:11" x14ac:dyDescent="0.25">
      <c r="A187" t="s">
        <v>162</v>
      </c>
      <c r="B187" t="str">
        <f>RTD("tos.rtd", , "DESCRIPTION", "LRHC")</f>
        <v>LA ROSA HLDGS CORP</v>
      </c>
      <c r="C187">
        <f>RTD("tos.rtd", , "MARK", "LRHC")</f>
        <v>1.1399999999999999</v>
      </c>
      <c r="D187">
        <f>RTD("tos.rtd", , "MARK_CHANGE", "LRHC")</f>
        <v>0.06</v>
      </c>
      <c r="E187" t="str">
        <f>RTD("tos.rtd", , "MARK_PERCENT_CHANGE", "LRHC")</f>
        <v>+5.56%</v>
      </c>
      <c r="F187">
        <f>RTD("tos.rtd", , "VOLUME", "LRHC")</f>
        <v>139818</v>
      </c>
      <c r="G187">
        <f>RTD("tos.rtd", , "BID", "LRHC")</f>
        <v>1.1399999999999999</v>
      </c>
      <c r="H187">
        <f>RTD("tos.rtd", , "ASK", "LRHC")</f>
        <v>1.18</v>
      </c>
      <c r="I187" t="str">
        <f>RTD("tos.rtd", , "MARKET_CAP", "LRHC")</f>
        <v>1.8 M</v>
      </c>
      <c r="J187" t="str">
        <f>RTD("tos.rtd", , "CUSTOM3", "LRHC")</f>
        <v>loading</v>
      </c>
      <c r="K187" t="str">
        <f>RTD("tos.rtd", , "CUSTOM2", "LRHC")</f>
        <v>loading</v>
      </c>
    </row>
    <row r="188" spans="1:11" x14ac:dyDescent="0.25">
      <c r="A188" t="s">
        <v>81</v>
      </c>
      <c r="B188" t="str">
        <f>RTD("tos.rtd", , "DESCRIPTION", "KREF")</f>
        <v>KKR REAL ESTATE FIN</v>
      </c>
      <c r="C188">
        <f>RTD("tos.rtd", , "MARK", "KREF")</f>
        <v>6.87</v>
      </c>
      <c r="D188">
        <f>RTD("tos.rtd", , "MARK_CHANGE", "KREF")</f>
        <v>-0.09</v>
      </c>
      <c r="E188" t="str">
        <f>RTD("tos.rtd", , "MARK_PERCENT_CHANGE", "KREF")</f>
        <v>-1.29%</v>
      </c>
      <c r="F188">
        <f>RTD("tos.rtd", , "VOLUME", "KREF")</f>
        <v>390098</v>
      </c>
      <c r="G188">
        <f>RTD("tos.rtd", , "BID", "KREF")</f>
        <v>6.87</v>
      </c>
      <c r="H188">
        <f>RTD("tos.rtd", , "ASK", "KREF")</f>
        <v>6.88</v>
      </c>
      <c r="I188" t="str">
        <f>RTD("tos.rtd", , "MARKET_CAP", "KREF")</f>
        <v>442 M</v>
      </c>
      <c r="J188" t="str">
        <f>RTD("tos.rtd", , "CUSTOM3", "KREF")</f>
        <v>loading</v>
      </c>
      <c r="K188" t="str">
        <f>RTD("tos.rtd", , "CUSTOM2", "KREF")</f>
        <v>loading</v>
      </c>
    </row>
    <row r="189" spans="1:11" x14ac:dyDescent="0.25">
      <c r="A189" t="s">
        <v>21</v>
      </c>
      <c r="B189" t="str">
        <f>RTD("tos.rtd", , "DESCRIPTION", "ALT")</f>
        <v>ALTIMMUNE INC</v>
      </c>
      <c r="C189">
        <f>RTD("tos.rtd", , "MARK", "ALT")</f>
        <v>3.14</v>
      </c>
      <c r="D189">
        <f>RTD("tos.rtd", , "MARK_CHANGE", "ALT")</f>
        <v>0.2</v>
      </c>
      <c r="E189" t="str">
        <f>RTD("tos.rtd", , "MARK_PERCENT_CHANGE", "ALT")</f>
        <v>+6.80%</v>
      </c>
      <c r="F189">
        <f>RTD("tos.rtd", , "VOLUME", "ALT")</f>
        <v>2534071</v>
      </c>
      <c r="G189">
        <f>RTD("tos.rtd", , "BID", "ALT")</f>
        <v>3.13</v>
      </c>
      <c r="H189">
        <f>RTD("tos.rtd", , "ASK", "ALT")</f>
        <v>3.14</v>
      </c>
      <c r="I189" t="str">
        <f>RTD("tos.rtd", , "MARKET_CAP", "ALT")</f>
        <v>611 M</v>
      </c>
      <c r="J189" t="str">
        <f>RTD("tos.rtd", , "CUSTOM3", "ALT")</f>
        <v>loading</v>
      </c>
      <c r="K189" t="str">
        <f>RTD("tos.rtd", , "CUSTOM2", "ALT")</f>
        <v>loading</v>
      </c>
    </row>
    <row r="190" spans="1:11" x14ac:dyDescent="0.25">
      <c r="A190" t="s">
        <v>27</v>
      </c>
      <c r="B190" t="str">
        <f>RTD("tos.rtd", , "DESCRIPTION", "HUBC")</f>
        <v>HUB CYBER SEC LTD</v>
      </c>
      <c r="C190">
        <f>RTD("tos.rtd", , "MARK", "HUBC")</f>
        <v>1.62</v>
      </c>
      <c r="D190">
        <f>RTD("tos.rtd", , "MARK_CHANGE", "HUBC")</f>
        <v>0.15</v>
      </c>
      <c r="E190" t="str">
        <f>RTD("tos.rtd", , "MARK_PERCENT_CHANGE", "HUBC")</f>
        <v>+10.20%</v>
      </c>
      <c r="F190">
        <f>RTD("tos.rtd", , "VOLUME", "HUBC")</f>
        <v>455684</v>
      </c>
      <c r="G190">
        <f>RTD("tos.rtd", , "BID", "HUBC")</f>
        <v>1.58</v>
      </c>
      <c r="H190">
        <f>RTD("tos.rtd", , "ASK", "HUBC")</f>
        <v>1.62</v>
      </c>
      <c r="I190" t="str">
        <f>RTD("tos.rtd", , "MARKET_CAP", "HUBC")</f>
        <v>5.4 M</v>
      </c>
      <c r="J190" t="str">
        <f>RTD("tos.rtd", , "CUSTOM3", "HUBC")</f>
        <v>loading</v>
      </c>
      <c r="K190" t="str">
        <f>RTD("tos.rtd", , "CUSTOM2", "HUBC")</f>
        <v>loading</v>
      </c>
    </row>
    <row r="191" spans="1:11" x14ac:dyDescent="0.25">
      <c r="A191" t="s">
        <v>163</v>
      </c>
      <c r="B191" t="str">
        <f>RTD("tos.rtd", , "DESCRIPTION", "QVCGP")</f>
        <v>QVC GROUP INC 8% 03/ 8% 03/15/2031 PFD Callable</v>
      </c>
      <c r="C191">
        <f>RTD("tos.rtd", , "MARK", "QVCGP")</f>
        <v>2.39</v>
      </c>
      <c r="D191">
        <f>RTD("tos.rtd", , "MARK_CHANGE", "QVCGP")</f>
        <v>-0.18</v>
      </c>
      <c r="E191" t="str">
        <f>RTD("tos.rtd", , "MARK_PERCENT_CHANGE", "QVCGP")</f>
        <v>-7.00%</v>
      </c>
      <c r="F191" t="str">
        <f>RTD("tos.rtd", , "VOLUME", "QVCGP")</f>
        <v>N/A</v>
      </c>
      <c r="G191">
        <f>RTD("tos.rtd", , "BID", "QVCGP")</f>
        <v>2.27</v>
      </c>
      <c r="H191">
        <f>RTD("tos.rtd", , "ASK", "QVCGP")</f>
        <v>2.39</v>
      </c>
      <c r="I191">
        <f>RTD("tos.rtd", , "MARKET_CAP", "QVCGP")</f>
        <v>0</v>
      </c>
      <c r="J191" t="str">
        <f>RTD("tos.rtd", , "CUSTOM3", "QVCGP")</f>
        <v>loading</v>
      </c>
      <c r="K191" t="str">
        <f>RTD("tos.rtd", , "CUSTOM2", "QVCGP")</f>
        <v>loading</v>
      </c>
    </row>
    <row r="192" spans="1:11" x14ac:dyDescent="0.25">
      <c r="A192" t="s">
        <v>35</v>
      </c>
      <c r="B192" t="str">
        <f>RTD("tos.rtd", , "DESCRIPTION", "CURLF")</f>
        <v>CURALEAF HLDGS INC</v>
      </c>
      <c r="C192">
        <f>RTD("tos.rtd", , "MARK", "CURLF")</f>
        <v>3.64</v>
      </c>
      <c r="D192">
        <f>RTD("tos.rtd", , "MARK_CHANGE", "CURLF")</f>
        <v>0</v>
      </c>
      <c r="E192" t="str">
        <f>RTD("tos.rtd", , "MARK_PERCENT_CHANGE", "CURLF")</f>
        <v>0.00%</v>
      </c>
      <c r="F192" t="str">
        <f>RTD("tos.rtd", , "VOLUME", "CURLF")</f>
        <v>N/A</v>
      </c>
      <c r="G192">
        <f>RTD("tos.rtd", , "BID", "CURLF")</f>
        <v>3.4</v>
      </c>
      <c r="H192">
        <f>RTD("tos.rtd", , "ASK", "CURLF")</f>
        <v>3.7</v>
      </c>
      <c r="I192" t="str">
        <f>RTD("tos.rtd", , "MARKET_CAP", "CURLF")</f>
        <v>962 M</v>
      </c>
      <c r="J192" t="str">
        <f>RTD("tos.rtd", , "CUSTOM3", "CURLF")</f>
        <v>loading</v>
      </c>
      <c r="K192" t="str">
        <f>RTD("tos.rtd", , "CUSTOM2", "CURLF")</f>
        <v>loading</v>
      </c>
    </row>
    <row r="193" spans="1:11" x14ac:dyDescent="0.25">
      <c r="A193" t="s">
        <v>164</v>
      </c>
      <c r="B193" t="str">
        <f>RTD("tos.rtd", , "DESCRIPTION", "CLIK")</f>
        <v>CLICK HLDGS LTD A</v>
      </c>
      <c r="C193">
        <f>RTD("tos.rtd", , "MARK", "CLIK")</f>
        <v>1.53</v>
      </c>
      <c r="D193">
        <f>RTD("tos.rtd", , "MARK_CHANGE", "CLIK")</f>
        <v>-0.01</v>
      </c>
      <c r="E193" t="str">
        <f>RTD("tos.rtd", , "MARK_PERCENT_CHANGE", "CLIK")</f>
        <v>-0.65%</v>
      </c>
      <c r="F193">
        <f>RTD("tos.rtd", , "VOLUME", "CLIK")</f>
        <v>39237</v>
      </c>
      <c r="G193">
        <f>RTD("tos.rtd", , "BID", "CLIK")</f>
        <v>1.52</v>
      </c>
      <c r="H193">
        <f>RTD("tos.rtd", , "ASK", "CLIK")</f>
        <v>1.54</v>
      </c>
      <c r="I193" t="str">
        <f>RTD("tos.rtd", , "MARKET_CAP", "CLIK")</f>
        <v>5 M</v>
      </c>
      <c r="J193" t="str">
        <f>RTD("tos.rtd", , "CUSTOM3", "CLIK")</f>
        <v>loading</v>
      </c>
      <c r="K193" t="str">
        <f>RTD("tos.rtd", , "CUSTOM2", "CLIK")</f>
        <v>loading</v>
      </c>
    </row>
    <row r="194" spans="1:11" x14ac:dyDescent="0.25">
      <c r="A194" t="s">
        <v>165</v>
      </c>
      <c r="B194" t="str">
        <f>RTD("tos.rtd", , "DESCRIPTION", "ABTS")</f>
        <v>ABITS GROUP INC</v>
      </c>
      <c r="C194">
        <f>RTD("tos.rtd", , "MARK", "ABTS")</f>
        <v>1.17</v>
      </c>
      <c r="D194">
        <f>RTD("tos.rtd", , "MARK_CHANGE", "ABTS")</f>
        <v>0.01</v>
      </c>
      <c r="E194" t="str">
        <f>RTD("tos.rtd", , "MARK_PERCENT_CHANGE", "ABTS")</f>
        <v>+0.86%</v>
      </c>
      <c r="F194">
        <f>RTD("tos.rtd", , "VOLUME", "ABTS")</f>
        <v>18488</v>
      </c>
      <c r="G194">
        <f>RTD("tos.rtd", , "BID", "ABTS")</f>
        <v>1.1599999999999999</v>
      </c>
      <c r="H194">
        <f>RTD("tos.rtd", , "ASK", "ABTS")</f>
        <v>1.19</v>
      </c>
      <c r="I194" t="str">
        <f>RTD("tos.rtd", , "MARKET_CAP", "ABTS")</f>
        <v>3.5 M</v>
      </c>
      <c r="J194" t="str">
        <f>RTD("tos.rtd", , "CUSTOM3", "ABTS")</f>
        <v>loading</v>
      </c>
      <c r="K194" t="str">
        <f>RTD("tos.rtd", , "CUSTOM2", "ABTS")</f>
        <v>loading</v>
      </c>
    </row>
    <row r="195" spans="1:11" x14ac:dyDescent="0.25">
      <c r="A195" t="s">
        <v>166</v>
      </c>
      <c r="B195" t="str">
        <f>RTD("tos.rtd", , "DESCRIPTION", "FJET")</f>
        <v>STARFIGHTERS SPACE I</v>
      </c>
      <c r="C195">
        <f>RTD("tos.rtd", , "MARK", "FJET")</f>
        <v>5.415</v>
      </c>
      <c r="D195">
        <f>RTD("tos.rtd", , "MARK_CHANGE", "FJET")</f>
        <v>-0.215</v>
      </c>
      <c r="E195" t="str">
        <f>RTD("tos.rtd", , "MARK_PERCENT_CHANGE", "FJET")</f>
        <v>-3.82%</v>
      </c>
      <c r="F195">
        <f>RTD("tos.rtd", , "VOLUME", "FJET")</f>
        <v>1118457</v>
      </c>
      <c r="G195">
        <f>RTD("tos.rtd", , "BID", "FJET")</f>
        <v>5.39</v>
      </c>
      <c r="H195">
        <f>RTD("tos.rtd", , "ASK", "FJET")</f>
        <v>5.44</v>
      </c>
      <c r="I195" t="str">
        <f>RTD("tos.rtd", , "MARKET_CAP", "FJET")</f>
        <v>269 M</v>
      </c>
      <c r="J195" t="str">
        <f>RTD("tos.rtd", , "CUSTOM3", "FJET")</f>
        <v>loading</v>
      </c>
      <c r="K195">
        <f>RTD("tos.rtd", , "CUSTOM2", "FJET")</f>
        <v>29.42</v>
      </c>
    </row>
    <row r="196" spans="1:11" x14ac:dyDescent="0.25">
      <c r="A196" t="s">
        <v>30</v>
      </c>
      <c r="B196" t="str">
        <f>RTD("tos.rtd", , "DESCRIPTION", "ASAN")</f>
        <v>ASANA INC A</v>
      </c>
      <c r="C196">
        <f>RTD("tos.rtd", , "MARK", "ASAN")</f>
        <v>6.93</v>
      </c>
      <c r="D196">
        <f>RTD("tos.rtd", , "MARK_CHANGE", "ASAN")</f>
        <v>-7.0000000000000007E-2</v>
      </c>
      <c r="E196" t="str">
        <f>RTD("tos.rtd", , "MARK_PERCENT_CHANGE", "ASAN")</f>
        <v>-1.00%</v>
      </c>
      <c r="F196">
        <f>RTD("tos.rtd", , "VOLUME", "ASAN")</f>
        <v>2172764</v>
      </c>
      <c r="G196">
        <f>RTD("tos.rtd", , "BID", "ASAN")</f>
        <v>6.93</v>
      </c>
      <c r="H196">
        <f>RTD("tos.rtd", , "ASK", "ASAN")</f>
        <v>6.94</v>
      </c>
      <c r="I196" t="str">
        <f>RTD("tos.rtd", , "MARKET_CAP", "ASAN")</f>
        <v>1,597 M</v>
      </c>
      <c r="J196" t="str">
        <f>RTD("tos.rtd", , "CUSTOM3", "ASAN")</f>
        <v>loading</v>
      </c>
      <c r="K196" t="str">
        <f>RTD("tos.rtd", , "CUSTOM2", "ASAN")</f>
        <v>loading</v>
      </c>
    </row>
    <row r="197" spans="1:11" x14ac:dyDescent="0.25">
      <c r="A197" t="s">
        <v>167</v>
      </c>
      <c r="B197" t="str">
        <f>RTD("tos.rtd", , "DESCRIPTION", "PSRHF")</f>
        <v>PULSAR HELIUM INC</v>
      </c>
      <c r="C197">
        <f>RTD("tos.rtd", , "MARK", "PSRHF")</f>
        <v>1.2</v>
      </c>
      <c r="D197">
        <f>RTD("tos.rtd", , "MARK_CHANGE", "PSRHF")</f>
        <v>0.14000000000000001</v>
      </c>
      <c r="E197" t="str">
        <f>RTD("tos.rtd", , "MARK_PERCENT_CHANGE", "PSRHF")</f>
        <v>+13.21%</v>
      </c>
      <c r="F197">
        <f>RTD("tos.rtd", , "VOLUME", "PSRHF")</f>
        <v>540755</v>
      </c>
      <c r="G197">
        <f>RTD("tos.rtd", , "BID", "PSRHF")</f>
        <v>1.19</v>
      </c>
      <c r="H197">
        <f>RTD("tos.rtd", , "ASK", "PSRHF")</f>
        <v>1.2</v>
      </c>
      <c r="I197" t="str">
        <f>RTD("tos.rtd", , "MARKET_CAP", "PSRHF")</f>
        <v>226 M</v>
      </c>
      <c r="J197" t="str">
        <f>RTD("tos.rtd", , "CUSTOM3", "PSRHF")</f>
        <v>loading</v>
      </c>
      <c r="K197" t="str">
        <f>RTD("tos.rtd", , "CUSTOM2", "PSRHF")</f>
        <v>loading</v>
      </c>
    </row>
    <row r="198" spans="1:11" x14ac:dyDescent="0.25">
      <c r="A198" t="s">
        <v>53</v>
      </c>
      <c r="B198" t="str">
        <f>RTD("tos.rtd", , "DESCRIPTION", "IPW")</f>
        <v>IPOWER INC</v>
      </c>
      <c r="C198">
        <f>RTD("tos.rtd", , "MARK", "IPW")</f>
        <v>2.12</v>
      </c>
      <c r="D198">
        <f>RTD("tos.rtd", , "MARK_CHANGE", "IPW")</f>
        <v>-0.08</v>
      </c>
      <c r="E198" t="str">
        <f>RTD("tos.rtd", , "MARK_PERCENT_CHANGE", "IPW")</f>
        <v>-3.64%</v>
      </c>
      <c r="F198">
        <f>RTD("tos.rtd", , "VOLUME", "IPW")</f>
        <v>81454</v>
      </c>
      <c r="G198">
        <f>RTD("tos.rtd", , "BID", "IPW")</f>
        <v>2.11</v>
      </c>
      <c r="H198">
        <f>RTD("tos.rtd", , "ASK", "IPW")</f>
        <v>2.15</v>
      </c>
      <c r="I198" t="str">
        <f>RTD("tos.rtd", , "MARKET_CAP", "IPW")</f>
        <v>1.4 M</v>
      </c>
      <c r="J198" t="str">
        <f>RTD("tos.rtd", , "CUSTOM3", "IPW")</f>
        <v>loading</v>
      </c>
      <c r="K198" t="str">
        <f>RTD("tos.rtd", , "CUSTOM2", "IPW")</f>
        <v>loading</v>
      </c>
    </row>
    <row r="199" spans="1:11" x14ac:dyDescent="0.25">
      <c r="A199" t="s">
        <v>168</v>
      </c>
      <c r="B199" t="str">
        <f>RTD("tos.rtd", , "DESCRIPTION", "JEM")</f>
        <v>707 CAYMAN HLDGS LTD A</v>
      </c>
      <c r="C199">
        <f>RTD("tos.rtd", , "MARK", "JEM")</f>
        <v>3.2233999999999998</v>
      </c>
      <c r="D199">
        <f>RTD("tos.rtd", , "MARK_CHANGE", "JEM")</f>
        <v>2.1434000000000002</v>
      </c>
      <c r="E199" t="str">
        <f>RTD("tos.rtd", , "MARK_PERCENT_CHANGE", "JEM")</f>
        <v>+198.46%</v>
      </c>
      <c r="F199">
        <f>RTD("tos.rtd", , "VOLUME", "JEM")</f>
        <v>89588172</v>
      </c>
      <c r="G199">
        <f>RTD("tos.rtd", , "BID", "JEM")</f>
        <v>3.22</v>
      </c>
      <c r="H199">
        <f>RTD("tos.rtd", , "ASK", "JEM")</f>
        <v>3.25</v>
      </c>
      <c r="I199" t="str">
        <f>RTD("tos.rtd", , "MARKET_CAP", "JEM")</f>
        <v>5.8 M</v>
      </c>
      <c r="J199">
        <f>RTD("tos.rtd", , "CUSTOM3", "JEM")</f>
        <v>-13.59</v>
      </c>
      <c r="K199">
        <f>RTD("tos.rtd", , "CUSTOM2", "JEM")</f>
        <v>51.47</v>
      </c>
    </row>
    <row r="200" spans="1:11" x14ac:dyDescent="0.25">
      <c r="A200" t="s">
        <v>169</v>
      </c>
      <c r="B200" t="str">
        <f>RTD("tos.rtd", , "DESCRIPTION", "FTRE")</f>
        <v>FORTREA HLDGS INC</v>
      </c>
      <c r="C200">
        <f>RTD("tos.rtd", , "MARK", "FTRE")</f>
        <v>17.3</v>
      </c>
      <c r="D200">
        <f>RTD("tos.rtd", , "MARK_CHANGE", "FTRE")</f>
        <v>-0.22</v>
      </c>
      <c r="E200" t="str">
        <f>RTD("tos.rtd", , "MARK_PERCENT_CHANGE", "FTRE")</f>
        <v>-1.26%</v>
      </c>
      <c r="F200">
        <f>RTD("tos.rtd", , "VOLUME", "FTRE")</f>
        <v>317704</v>
      </c>
      <c r="G200">
        <f>RTD("tos.rtd", , "BID", "FTRE")</f>
        <v>17.3</v>
      </c>
      <c r="H200">
        <f>RTD("tos.rtd", , "ASK", "FTRE")</f>
        <v>17.32</v>
      </c>
      <c r="I200" t="str">
        <f>RTD("tos.rtd", , "MARKET_CAP", "FTRE")</f>
        <v>1,636 M</v>
      </c>
      <c r="J200" t="str">
        <f>RTD("tos.rtd", , "CUSTOM3", "FTRE")</f>
        <v>loading</v>
      </c>
      <c r="K200" t="str">
        <f>RTD("tos.rtd", , "CUSTOM2", "FTRE")</f>
        <v>loading</v>
      </c>
    </row>
    <row r="201" spans="1:11" x14ac:dyDescent="0.25">
      <c r="A201" t="s">
        <v>0</v>
      </c>
      <c r="B201" t="str">
        <f>RTD("tos.rtd", , "DESCRIPTION", "ELPW")</f>
        <v>ELONG PWR HLDG LTD A</v>
      </c>
      <c r="C201">
        <f>RTD("tos.rtd", , "MARK", "ELPW")</f>
        <v>0.98460000000000003</v>
      </c>
      <c r="D201">
        <f>RTD("tos.rtd", , "MARK_CHANGE", "ELPW")</f>
        <v>-1.54E-2</v>
      </c>
      <c r="E201" t="str">
        <f>RTD("tos.rtd", , "MARK_PERCENT_CHANGE", "ELPW")</f>
        <v>-1.54%</v>
      </c>
      <c r="F201">
        <f>RTD("tos.rtd", , "VOLUME", "ELPW")</f>
        <v>303408</v>
      </c>
      <c r="G201">
        <f>RTD("tos.rtd", , "BID", "ELPW")</f>
        <v>0.98450000000000004</v>
      </c>
      <c r="H201">
        <f>RTD("tos.rtd", , "ASK", "ELPW")</f>
        <v>1.01</v>
      </c>
      <c r="I201" t="str">
        <f>RTD("tos.rtd", , "MARKET_CAP", "ELPW")</f>
        <v>3.1 M</v>
      </c>
      <c r="J201" t="str">
        <f>RTD("tos.rtd", , "CUSTOM3", "ELPW")</f>
        <v>loading</v>
      </c>
      <c r="K201" t="str">
        <f>RTD("tos.rtd", , "CUSTOM2", "ELPW")</f>
        <v>loading</v>
      </c>
    </row>
    <row r="202" spans="1:11" x14ac:dyDescent="0.25">
      <c r="A202" t="s">
        <v>170</v>
      </c>
      <c r="B202" t="str">
        <f>RTD("tos.rtd", , "DESCRIPTION", "RMSG")</f>
        <v>REAL MESSENGER CORP</v>
      </c>
      <c r="C202">
        <f>RTD("tos.rtd", , "MARK", "RMSG")</f>
        <v>0.49300100000000002</v>
      </c>
      <c r="D202">
        <f>RTD("tos.rtd", , "MARK_CHANGE", "RMSG")</f>
        <v>1.2001E-2</v>
      </c>
      <c r="E202" t="str">
        <f>RTD("tos.rtd", , "MARK_PERCENT_CHANGE", "RMSG")</f>
        <v>+2.50%</v>
      </c>
      <c r="F202">
        <f>RTD("tos.rtd", , "VOLUME", "RMSG")</f>
        <v>187786</v>
      </c>
      <c r="G202">
        <f>RTD("tos.rtd", , "BID", "RMSG")</f>
        <v>0.49</v>
      </c>
      <c r="H202">
        <f>RTD("tos.rtd", , "ASK", "RMSG")</f>
        <v>0.496</v>
      </c>
      <c r="I202" t="str">
        <f>RTD("tos.rtd", , "MARKET_CAP", "RMSG")</f>
        <v>7 M</v>
      </c>
      <c r="J202" t="str">
        <f>RTD("tos.rtd", , "CUSTOM3", "RMSG")</f>
        <v>loading</v>
      </c>
      <c r="K202" t="str">
        <f>RTD("tos.rtd", , "CUSTOM2", "RMSG")</f>
        <v>loading</v>
      </c>
    </row>
    <row r="203" spans="1:11" x14ac:dyDescent="0.25">
      <c r="A203" t="s">
        <v>171</v>
      </c>
      <c r="B203" t="str">
        <f>RTD("tos.rtd", , "DESCRIPTION", "FRSH")</f>
        <v>FRESHWORKS INC A</v>
      </c>
      <c r="C203">
        <f>RTD("tos.rtd", , "MARK", "FRSH")</f>
        <v>10.15</v>
      </c>
      <c r="D203">
        <f>RTD("tos.rtd", , "MARK_CHANGE", "FRSH")</f>
        <v>-0.06</v>
      </c>
      <c r="E203" t="str">
        <f>RTD("tos.rtd", , "MARK_PERCENT_CHANGE", "FRSH")</f>
        <v>-0.59%</v>
      </c>
      <c r="F203">
        <f>RTD("tos.rtd", , "VOLUME", "FRSH")</f>
        <v>19099223</v>
      </c>
      <c r="G203">
        <f>RTD("tos.rtd", , "BID", "FRSH")</f>
        <v>10.14</v>
      </c>
      <c r="H203">
        <f>RTD("tos.rtd", , "ASK", "FRSH")</f>
        <v>10.15</v>
      </c>
      <c r="I203" t="str">
        <f>RTD("tos.rtd", , "MARKET_CAP", "FRSH")</f>
        <v>2,806 M</v>
      </c>
      <c r="J203" t="str">
        <f>RTD("tos.rtd", , "CUSTOM3", "FRSH")</f>
        <v>loading</v>
      </c>
      <c r="K203" t="str">
        <f>RTD("tos.rtd", , "CUSTOM2", "FRSH")</f>
        <v>loading</v>
      </c>
    </row>
    <row r="204" spans="1:11" x14ac:dyDescent="0.25">
      <c r="A204" t="s">
        <v>172</v>
      </c>
      <c r="B204" t="str">
        <f>RTD("tos.rtd", , "DESCRIPTION", "WBUY")</f>
        <v>WEBUY GLOBAL LTD A</v>
      </c>
      <c r="C204">
        <f>RTD("tos.rtd", , "MARK", "WBUY")</f>
        <v>0.85</v>
      </c>
      <c r="D204">
        <f>RTD("tos.rtd", , "MARK_CHANGE", "WBUY")</f>
        <v>-8.9999999999999993E-3</v>
      </c>
      <c r="E204" t="str">
        <f>RTD("tos.rtd", , "MARK_PERCENT_CHANGE", "WBUY")</f>
        <v>-1.05%</v>
      </c>
      <c r="F204">
        <f>RTD("tos.rtd", , "VOLUME", "WBUY")</f>
        <v>3335</v>
      </c>
      <c r="G204">
        <f>RTD("tos.rtd", , "BID", "WBUY")</f>
        <v>0.83</v>
      </c>
      <c r="H204">
        <f>RTD("tos.rtd", , "ASK", "WBUY")</f>
        <v>0.87</v>
      </c>
      <c r="I204" t="str">
        <f>RTD("tos.rtd", , "MARKET_CAP", "WBUY")</f>
        <v>4.7 M</v>
      </c>
      <c r="J204" t="str">
        <f>RTD("tos.rtd", , "CUSTOM3", "WBUY")</f>
        <v>loading</v>
      </c>
      <c r="K204" t="str">
        <f>RTD("tos.rtd", , "CUSTOM2", "WBUY")</f>
        <v>loading</v>
      </c>
    </row>
    <row r="205" spans="1:11" x14ac:dyDescent="0.25">
      <c r="A205" t="s">
        <v>37</v>
      </c>
      <c r="B205" t="str">
        <f>RTD("tos.rtd", , "DESCRIPTION", "VRNO")</f>
        <v>VERANO HLDGS CORP</v>
      </c>
      <c r="C205">
        <f>RTD("tos.rtd", , "MARK", "VRNO")</f>
        <v>1.1779999999999999</v>
      </c>
      <c r="D205">
        <f>RTD("tos.rtd", , "MARK_CHANGE", "VRNO")</f>
        <v>0</v>
      </c>
      <c r="E205" t="str">
        <f>RTD("tos.rtd", , "MARK_PERCENT_CHANGE", "VRNO")</f>
        <v>0.00%</v>
      </c>
      <c r="F205" t="str">
        <f>RTD("tos.rtd", , "VOLUME", "VRNO")</f>
        <v>N/A</v>
      </c>
      <c r="G205">
        <f>RTD("tos.rtd", , "BID", "VRNO")</f>
        <v>1.1599999999999999</v>
      </c>
      <c r="H205">
        <f>RTD("tos.rtd", , "ASK", "VRNO")</f>
        <v>1.24</v>
      </c>
      <c r="I205" t="str">
        <f>RTD("tos.rtd", , "MARKET_CAP", "VRNO")</f>
        <v>87 M</v>
      </c>
      <c r="J205" t="str">
        <f>RTD("tos.rtd", , "CUSTOM3", "VRNO")</f>
        <v>loading</v>
      </c>
      <c r="K205" t="str">
        <f>RTD("tos.rtd", , "CUSTOM2", "VRNO")</f>
        <v>loading</v>
      </c>
    </row>
    <row r="206" spans="1:11" x14ac:dyDescent="0.25">
      <c r="A206" t="s">
        <v>173</v>
      </c>
      <c r="B206" t="str">
        <f>RTD("tos.rtd", , "DESCRIPTION", "CXM")</f>
        <v>SPRINKLR INC A</v>
      </c>
      <c r="C206">
        <f>RTD("tos.rtd", , "MARK", "CXM")</f>
        <v>5.1100000000000003</v>
      </c>
      <c r="D206">
        <f>RTD("tos.rtd", , "MARK_CHANGE", "CXM")</f>
        <v>-0.08</v>
      </c>
      <c r="E206" t="str">
        <f>RTD("tos.rtd", , "MARK_PERCENT_CHANGE", "CXM")</f>
        <v>-1.54%</v>
      </c>
      <c r="F206">
        <f>RTD("tos.rtd", , "VOLUME", "CXM")</f>
        <v>1701581</v>
      </c>
      <c r="G206">
        <f>RTD("tos.rtd", , "BID", "CXM")</f>
        <v>5.1100000000000003</v>
      </c>
      <c r="H206">
        <f>RTD("tos.rtd", , "ASK", "CXM")</f>
        <v>5.12</v>
      </c>
      <c r="I206" t="str">
        <f>RTD("tos.rtd", , "MARKET_CAP", "CXM")</f>
        <v>1,197 M</v>
      </c>
      <c r="J206" t="str">
        <f>RTD("tos.rtd", , "CUSTOM3", "CXM")</f>
        <v>loading</v>
      </c>
      <c r="K206" t="str">
        <f>RTD("tos.rtd", , "CUSTOM2", "CXM")</f>
        <v>loading</v>
      </c>
    </row>
    <row r="207" spans="1:11" x14ac:dyDescent="0.25">
      <c r="A207" t="s">
        <v>174</v>
      </c>
      <c r="B207" t="str">
        <f>RTD("tos.rtd", , "DESCRIPTION", "KYTX")</f>
        <v>KYVERNA THERAPEUTICS</v>
      </c>
      <c r="C207">
        <f>RTD("tos.rtd", , "MARK", "KYTX")</f>
        <v>9.06</v>
      </c>
      <c r="D207">
        <f>RTD("tos.rtd", , "MARK_CHANGE", "KYTX")</f>
        <v>0.28000000000000003</v>
      </c>
      <c r="E207" t="str">
        <f>RTD("tos.rtd", , "MARK_PERCENT_CHANGE", "KYTX")</f>
        <v>+3.19%</v>
      </c>
      <c r="F207">
        <f>RTD("tos.rtd", , "VOLUME", "KYTX")</f>
        <v>708632</v>
      </c>
      <c r="G207">
        <f>RTD("tos.rtd", , "BID", "KYTX")</f>
        <v>9.0500000000000007</v>
      </c>
      <c r="H207">
        <f>RTD("tos.rtd", , "ASK", "KYTX")</f>
        <v>9.07</v>
      </c>
      <c r="I207" t="str">
        <f>RTD("tos.rtd", , "MARKET_CAP", "KYTX")</f>
        <v>551 M</v>
      </c>
      <c r="J207" t="str">
        <f>RTD("tos.rtd", , "CUSTOM3", "KYTX")</f>
        <v>loading</v>
      </c>
      <c r="K207" t="str">
        <f>RTD("tos.rtd", , "CUSTOM2", "KYTX")</f>
        <v>loading</v>
      </c>
    </row>
    <row r="208" spans="1:11" x14ac:dyDescent="0.25">
      <c r="A208" t="s">
        <v>175</v>
      </c>
      <c r="B208" t="str">
        <f>RTD("tos.rtd", , "DESCRIPTION", "TRON")</f>
        <v>TRON INC</v>
      </c>
      <c r="C208">
        <f>RTD("tos.rtd", , "MARK", "TRON")</f>
        <v>1.635</v>
      </c>
      <c r="D208">
        <f>RTD("tos.rtd", , "MARK_CHANGE", "TRON")</f>
        <v>0.16</v>
      </c>
      <c r="E208" t="str">
        <f>RTD("tos.rtd", , "MARK_PERCENT_CHANGE", "TRON")</f>
        <v>+10.85%</v>
      </c>
      <c r="F208">
        <f>RTD("tos.rtd", , "VOLUME", "TRON")</f>
        <v>657696</v>
      </c>
      <c r="G208">
        <f>RTD("tos.rtd", , "BID", "TRON")</f>
        <v>1.63</v>
      </c>
      <c r="H208">
        <f>RTD("tos.rtd", , "ASK", "TRON")</f>
        <v>1.64</v>
      </c>
      <c r="I208" t="str">
        <f>RTD("tos.rtd", , "MARKET_CAP", "TRON")</f>
        <v>776 M</v>
      </c>
      <c r="J208" t="str">
        <f>RTD("tos.rtd", , "CUSTOM3", "TRON")</f>
        <v>loading</v>
      </c>
      <c r="K208" t="str">
        <f>RTD("tos.rtd", , "CUSTOM2", "TRON")</f>
        <v>loading</v>
      </c>
    </row>
    <row r="209" spans="1:11" x14ac:dyDescent="0.25">
      <c r="A209" t="s">
        <v>176</v>
      </c>
      <c r="B209" t="str">
        <f>RTD("tos.rtd", , "DESCRIPTION", "GTM")</f>
        <v>ZOOMINFO TECHNOLOGIE</v>
      </c>
      <c r="C209">
        <f>RTD("tos.rtd", , "MARK", "GTM")</f>
        <v>2.89</v>
      </c>
      <c r="D209">
        <f>RTD("tos.rtd", , "MARK_CHANGE", "GTM")</f>
        <v>-0.03</v>
      </c>
      <c r="E209" t="str">
        <f>RTD("tos.rtd", , "MARK_PERCENT_CHANGE", "GTM")</f>
        <v>-1.03%</v>
      </c>
      <c r="F209">
        <f>RTD("tos.rtd", , "VOLUME", "GTM")</f>
        <v>4270748</v>
      </c>
      <c r="G209">
        <f>RTD("tos.rtd", , "BID", "GTM")</f>
        <v>2.89</v>
      </c>
      <c r="H209">
        <f>RTD("tos.rtd", , "ASK", "GTM")</f>
        <v>2.9</v>
      </c>
      <c r="I209" t="str">
        <f>RTD("tos.rtd", , "MARKET_CAP", "GTM")</f>
        <v>852 M</v>
      </c>
      <c r="J209" t="str">
        <f>RTD("tos.rtd", , "CUSTOM3", "GTM")</f>
        <v>loading</v>
      </c>
      <c r="K209" t="str">
        <f>RTD("tos.rtd", , "CUSTOM2", "GTM")</f>
        <v>loading</v>
      </c>
    </row>
    <row r="210" spans="1:11" x14ac:dyDescent="0.25">
      <c r="A210" t="s">
        <v>177</v>
      </c>
      <c r="B210" t="str">
        <f>RTD("tos.rtd", , "DESCRIPTION", "PATH")</f>
        <v>UIPATH INC A</v>
      </c>
      <c r="C210">
        <f>RTD("tos.rtd", , "MARK", "PATH")</f>
        <v>10.742000000000001</v>
      </c>
      <c r="D210">
        <f>RTD("tos.rtd", , "MARK_CHANGE", "PATH")</f>
        <v>6.2E-2</v>
      </c>
      <c r="E210" t="str">
        <f>RTD("tos.rtd", , "MARK_PERCENT_CHANGE", "PATH")</f>
        <v>+0.58%</v>
      </c>
      <c r="F210">
        <f>RTD("tos.rtd", , "VOLUME", "PATH")</f>
        <v>35094531</v>
      </c>
      <c r="G210">
        <f>RTD("tos.rtd", , "BID", "PATH")</f>
        <v>10.74</v>
      </c>
      <c r="H210">
        <f>RTD("tos.rtd", , "ASK", "PATH")</f>
        <v>10.75</v>
      </c>
      <c r="I210" t="str">
        <f>RTD("tos.rtd", , "MARKET_CAP", "PATH")</f>
        <v>5,566 M</v>
      </c>
      <c r="J210" t="str">
        <f>RTD("tos.rtd", , "CUSTOM3", "PATH")</f>
        <v>loading</v>
      </c>
      <c r="K210" t="str">
        <f>RTD("tos.rtd", , "CUSTOM2", "PATH")</f>
        <v>loading</v>
      </c>
    </row>
    <row r="211" spans="1:11" x14ac:dyDescent="0.25">
      <c r="A211" t="s">
        <v>178</v>
      </c>
      <c r="B211" t="str">
        <f>RTD("tos.rtd", , "DESCRIPTION", "AVTR")</f>
        <v>AVANTOR INC</v>
      </c>
      <c r="C211">
        <f>RTD("tos.rtd", , "MARK", "AVTR")</f>
        <v>9.89</v>
      </c>
      <c r="D211">
        <f>RTD("tos.rtd", , "MARK_CHANGE", "AVTR")</f>
        <v>-0.14000000000000001</v>
      </c>
      <c r="E211" t="str">
        <f>RTD("tos.rtd", , "MARK_PERCENT_CHANGE", "AVTR")</f>
        <v>-1.40%</v>
      </c>
      <c r="F211">
        <f>RTD("tos.rtd", , "VOLUME", "AVTR")</f>
        <v>3026935</v>
      </c>
      <c r="G211">
        <f>RTD("tos.rtd", , "BID", "AVTR")</f>
        <v>9.89</v>
      </c>
      <c r="H211">
        <f>RTD("tos.rtd", , "ASK", "AVTR")</f>
        <v>9.9</v>
      </c>
      <c r="I211" t="str">
        <f>RTD("tos.rtd", , "MARKET_CAP", "AVTR")</f>
        <v>6,752 M</v>
      </c>
      <c r="J211" t="str">
        <f>RTD("tos.rtd", , "CUSTOM3", "AVTR")</f>
        <v>loading</v>
      </c>
      <c r="K211" t="str">
        <f>RTD("tos.rtd", , "CUSTOM2", "AVTR")</f>
        <v>loading</v>
      </c>
    </row>
    <row r="212" spans="1:11" x14ac:dyDescent="0.25">
      <c r="A212" t="s">
        <v>179</v>
      </c>
      <c r="B212" t="str">
        <f>RTD("tos.rtd", , "DESCRIPTION", "NNOX")</f>
        <v>NANO-X IMAGING LTD</v>
      </c>
      <c r="C212">
        <f>RTD("tos.rtd", , "MARK", "NNOX")</f>
        <v>1.22</v>
      </c>
      <c r="D212">
        <f>RTD("tos.rtd", , "MARK_CHANGE", "NNOX")</f>
        <v>0.01</v>
      </c>
      <c r="E212" t="str">
        <f>RTD("tos.rtd", , "MARK_PERCENT_CHANGE", "NNOX")</f>
        <v>+0.83%</v>
      </c>
      <c r="F212">
        <f>RTD("tos.rtd", , "VOLUME", "NNOX")</f>
        <v>1872708</v>
      </c>
      <c r="G212">
        <f>RTD("tos.rtd", , "BID", "NNOX")</f>
        <v>1.21</v>
      </c>
      <c r="H212">
        <f>RTD("tos.rtd", , "ASK", "NNOX")</f>
        <v>1.22</v>
      </c>
      <c r="I212" t="str">
        <f>RTD("tos.rtd", , "MARKET_CAP", "NNOX")</f>
        <v>85 M</v>
      </c>
      <c r="J212">
        <f>RTD("tos.rtd", , "CUSTOM3", "NNOX")</f>
        <v>-56.26</v>
      </c>
      <c r="K212">
        <f>RTD("tos.rtd", , "CUSTOM2", "NNOX")</f>
        <v>82.82</v>
      </c>
    </row>
    <row r="213" spans="1:11" x14ac:dyDescent="0.25">
      <c r="A213" t="s">
        <v>29</v>
      </c>
      <c r="B213" t="str">
        <f>RTD("tos.rtd", , "DESCRIPTION", "PBM")</f>
        <v>PSYENCE BIOMEDICAL L</v>
      </c>
      <c r="C213">
        <f>RTD("tos.rtd", , "MARK", "PBM")</f>
        <v>3.0200999999999998</v>
      </c>
      <c r="D213">
        <f>RTD("tos.rtd", , "MARK_CHANGE", "PBM")</f>
        <v>-7.9899999999999999E-2</v>
      </c>
      <c r="E213" t="str">
        <f>RTD("tos.rtd", , "MARK_PERCENT_CHANGE", "PBM")</f>
        <v>-2.58%</v>
      </c>
      <c r="F213">
        <f>RTD("tos.rtd", , "VOLUME", "PBM")</f>
        <v>14501</v>
      </c>
      <c r="G213">
        <f>RTD("tos.rtd", , "BID", "PBM")</f>
        <v>3</v>
      </c>
      <c r="H213">
        <f>RTD("tos.rtd", , "ASK", "PBM")</f>
        <v>3.18</v>
      </c>
      <c r="I213" t="str">
        <f>RTD("tos.rtd", , "MARKET_CAP", "PBM")</f>
        <v>12 M</v>
      </c>
      <c r="J213" t="str">
        <f>RTD("tos.rtd", , "CUSTOM3", "PBM")</f>
        <v>loading</v>
      </c>
      <c r="K213" t="str">
        <f>RTD("tos.rtd", , "CUSTOM2", "PBM")</f>
        <v>loading</v>
      </c>
    </row>
    <row r="214" spans="1:11" x14ac:dyDescent="0.25">
      <c r="A214" t="s">
        <v>180</v>
      </c>
      <c r="B214" t="str">
        <f>RTD("tos.rtd", , "DESCRIPTION", "BYND")</f>
        <v>BEYOND MEAT INC</v>
      </c>
      <c r="C214">
        <f>RTD("tos.rtd", , "MARK", "BYND")</f>
        <v>0.77180000000000004</v>
      </c>
      <c r="D214">
        <f>RTD("tos.rtd", , "MARK_CHANGE", "BYND")</f>
        <v>6.3E-2</v>
      </c>
      <c r="E214" t="str">
        <f>RTD("tos.rtd", , "MARK_PERCENT_CHANGE", "BYND")</f>
        <v>+8.89%</v>
      </c>
      <c r="F214">
        <f>RTD("tos.rtd", , "VOLUME", "BYND")</f>
        <v>43536346</v>
      </c>
      <c r="G214">
        <f>RTD("tos.rtd", , "BID", "BYND")</f>
        <v>0.77180000000000004</v>
      </c>
      <c r="H214">
        <f>RTD("tos.rtd", , "ASK", "BYND")</f>
        <v>0.77190000000000003</v>
      </c>
      <c r="I214" t="str">
        <f>RTD("tos.rtd", , "MARKET_CAP", "BYND")</f>
        <v>398 M</v>
      </c>
      <c r="J214" t="str">
        <f>RTD("tos.rtd", , "CUSTOM3", "BYND")</f>
        <v>loading</v>
      </c>
      <c r="K214" t="str">
        <f>RTD("tos.rtd", , "CUSTOM2", "BYND")</f>
        <v>loading</v>
      </c>
    </row>
    <row r="215" spans="1:11" x14ac:dyDescent="0.25">
      <c r="A215" t="s">
        <v>33</v>
      </c>
      <c r="B215" t="str">
        <f>RTD("tos.rtd", , "DESCRIPTION", "WLDS")</f>
        <v>WEARABLE DEVICES LTD</v>
      </c>
      <c r="C215">
        <f>RTD("tos.rtd", , "MARK", "WLDS")</f>
        <v>1.631</v>
      </c>
      <c r="D215">
        <f>RTD("tos.rtd", , "MARK_CHANGE", "WLDS")</f>
        <v>-1.9E-2</v>
      </c>
      <c r="E215" t="str">
        <f>RTD("tos.rtd", , "MARK_PERCENT_CHANGE", "WLDS")</f>
        <v>-1.15%</v>
      </c>
      <c r="F215">
        <f>RTD("tos.rtd", , "VOLUME", "WLDS")</f>
        <v>22313</v>
      </c>
      <c r="G215">
        <f>RTD("tos.rtd", , "BID", "WLDS")</f>
        <v>1.62</v>
      </c>
      <c r="H215">
        <f>RTD("tos.rtd", , "ASK", "WLDS")</f>
        <v>1.72</v>
      </c>
      <c r="I215" t="str">
        <f>RTD("tos.rtd", , "MARKET_CAP", "WLDS")</f>
        <v>3.6 M</v>
      </c>
      <c r="J215" t="str">
        <f>RTD("tos.rtd", , "CUSTOM3", "WLDS")</f>
        <v>loading</v>
      </c>
      <c r="K215" t="str">
        <f>RTD("tos.rtd", , "CUSTOM2", "WLDS")</f>
        <v>loading</v>
      </c>
    </row>
    <row r="216" spans="1:11" x14ac:dyDescent="0.25">
      <c r="A216" t="s">
        <v>181</v>
      </c>
      <c r="B216" t="str">
        <f>RTD("tos.rtd", , "DESCRIPTION", "PAVS")</f>
        <v>PARANOVUS ENTMT TECH A</v>
      </c>
      <c r="C216">
        <f>RTD("tos.rtd", , "MARK", "PAVS")</f>
        <v>7.8650000000000002</v>
      </c>
      <c r="D216">
        <f>RTD("tos.rtd", , "MARK_CHANGE", "PAVS")</f>
        <v>1.7150000000000001</v>
      </c>
      <c r="E216" t="str">
        <f>RTD("tos.rtd", , "MARK_PERCENT_CHANGE", "PAVS")</f>
        <v>+27.89%</v>
      </c>
      <c r="F216">
        <f>RTD("tos.rtd", , "VOLUME", "PAVS")</f>
        <v>5937760</v>
      </c>
      <c r="G216">
        <f>RTD("tos.rtd", , "BID", "PAVS")</f>
        <v>7.83</v>
      </c>
      <c r="H216">
        <f>RTD("tos.rtd", , "ASK", "PAVS")</f>
        <v>7.9</v>
      </c>
      <c r="I216" t="str">
        <f>RTD("tos.rtd", , "MARKET_CAP", "PAVS")</f>
        <v>4 M</v>
      </c>
      <c r="J216">
        <f>RTD("tos.rtd", , "CUSTOM3", "PAVS")</f>
        <v>-100</v>
      </c>
      <c r="K216">
        <f>RTD("tos.rtd", , "CUSTOM2", "PAVS")</f>
        <v>40.61</v>
      </c>
    </row>
    <row r="217" spans="1:11" x14ac:dyDescent="0.25">
      <c r="A217" t="s">
        <v>36</v>
      </c>
      <c r="B217" t="str">
        <f>RTD("tos.rtd", , "DESCRIPTION", "GSIT")</f>
        <v>GSI TECHNOLOGY INC</v>
      </c>
      <c r="C217">
        <f>RTD("tos.rtd", , "MARK", "GSIT")</f>
        <v>7.5949999999999998</v>
      </c>
      <c r="D217">
        <f>RTD("tos.rtd", , "MARK_CHANGE", "GSIT")</f>
        <v>0.745</v>
      </c>
      <c r="E217" t="str">
        <f>RTD("tos.rtd", , "MARK_PERCENT_CHANGE", "GSIT")</f>
        <v>+10.88%</v>
      </c>
      <c r="F217">
        <f>RTD("tos.rtd", , "VOLUME", "GSIT")</f>
        <v>1010589</v>
      </c>
      <c r="G217">
        <f>RTD("tos.rtd", , "BID", "GSIT")</f>
        <v>7.59</v>
      </c>
      <c r="H217">
        <f>RTD("tos.rtd", , "ASK", "GSIT")</f>
        <v>7.6</v>
      </c>
      <c r="I217" t="str">
        <f>RTD("tos.rtd", , "MARKET_CAP", "GSIT")</f>
        <v>290 M</v>
      </c>
      <c r="J217">
        <f>RTD("tos.rtd", , "CUSTOM3", "GSIT")</f>
        <v>5.49</v>
      </c>
      <c r="K217">
        <f>RTD("tos.rtd", , "CUSTOM2", "GSIT")</f>
        <v>60.46</v>
      </c>
    </row>
    <row r="218" spans="1:11" x14ac:dyDescent="0.25">
      <c r="A218" t="s">
        <v>25</v>
      </c>
      <c r="B218" t="str">
        <f>RTD("tos.rtd", , "DESCRIPTION", "BZAI")</f>
        <v>BLAIZE HLDGS INC</v>
      </c>
      <c r="C218">
        <f>RTD("tos.rtd", , "MARK", "BZAI")</f>
        <v>1.375</v>
      </c>
      <c r="D218">
        <f>RTD("tos.rtd", , "MARK_CHANGE", "BZAI")</f>
        <v>-5.0000000000000001E-3</v>
      </c>
      <c r="E218" t="str">
        <f>RTD("tos.rtd", , "MARK_PERCENT_CHANGE", "BZAI")</f>
        <v>-0.36%</v>
      </c>
      <c r="F218">
        <f>RTD("tos.rtd", , "VOLUME", "BZAI")</f>
        <v>2142936</v>
      </c>
      <c r="G218">
        <f>RTD("tos.rtd", , "BID", "BZAI")</f>
        <v>1.37</v>
      </c>
      <c r="H218">
        <f>RTD("tos.rtd", , "ASK", "BZAI")</f>
        <v>1.38</v>
      </c>
      <c r="I218" t="str">
        <f>RTD("tos.rtd", , "MARKET_CAP", "BZAI")</f>
        <v>196 M</v>
      </c>
      <c r="J218" t="str">
        <f>RTD("tos.rtd", , "CUSTOM3", "BZAI")</f>
        <v>loading</v>
      </c>
      <c r="K218">
        <f>RTD("tos.rtd", , "CUSTOM2", "BZAI")</f>
        <v>56.65</v>
      </c>
    </row>
    <row r="219" spans="1:11" x14ac:dyDescent="0.25">
      <c r="A219" t="s">
        <v>182</v>
      </c>
      <c r="B219" t="str">
        <f>RTD("tos.rtd", , "DESCRIPTION", "SPT")</f>
        <v>SPROUT SOCIAL INC A</v>
      </c>
      <c r="C219">
        <f>RTD("tos.rtd", , "MARK", "SPT")</f>
        <v>7.5</v>
      </c>
      <c r="D219">
        <f>RTD("tos.rtd", , "MARK_CHANGE", "SPT")</f>
        <v>-0.16</v>
      </c>
      <c r="E219" t="str">
        <f>RTD("tos.rtd", , "MARK_PERCENT_CHANGE", "SPT")</f>
        <v>-2.09%</v>
      </c>
      <c r="F219">
        <f>RTD("tos.rtd", , "VOLUME", "SPT")</f>
        <v>457505</v>
      </c>
      <c r="G219">
        <f>RTD("tos.rtd", , "BID", "SPT")</f>
        <v>7.5</v>
      </c>
      <c r="H219">
        <f>RTD("tos.rtd", , "ASK", "SPT")</f>
        <v>7.51</v>
      </c>
      <c r="I219" t="str">
        <f>RTD("tos.rtd", , "MARKET_CAP", "SPT")</f>
        <v>451 M</v>
      </c>
      <c r="J219" t="str">
        <f>RTD("tos.rtd", , "CUSTOM3", "SPT")</f>
        <v>loading</v>
      </c>
      <c r="K219" t="str">
        <f>RTD("tos.rtd", , "CUSTOM2", "SPT")</f>
        <v>loading</v>
      </c>
    </row>
    <row r="220" spans="1:11" x14ac:dyDescent="0.25">
      <c r="A220" t="s">
        <v>183</v>
      </c>
      <c r="B220" t="str">
        <f>RTD("tos.rtd", , "DESCRIPTION", "WEAV")</f>
        <v>WEAVE COMMUNICATIONS</v>
      </c>
      <c r="C220">
        <f>RTD("tos.rtd", , "MARK", "WEAV")</f>
        <v>5.9749999999999996</v>
      </c>
      <c r="D220">
        <f>RTD("tos.rtd", , "MARK_CHANGE", "WEAV")</f>
        <v>-0.155</v>
      </c>
      <c r="E220" t="str">
        <f>RTD("tos.rtd", , "MARK_PERCENT_CHANGE", "WEAV")</f>
        <v>-2.53%</v>
      </c>
      <c r="F220">
        <f>RTD("tos.rtd", , "VOLUME", "WEAV")</f>
        <v>454651</v>
      </c>
      <c r="G220">
        <f>RTD("tos.rtd", , "BID", "WEAV")</f>
        <v>5.97</v>
      </c>
      <c r="H220">
        <f>RTD("tos.rtd", , "ASK", "WEAV")</f>
        <v>5.98</v>
      </c>
      <c r="I220" t="str">
        <f>RTD("tos.rtd", , "MARKET_CAP", "WEAV")</f>
        <v>475 M</v>
      </c>
      <c r="J220" t="str">
        <f>RTD("tos.rtd", , "CUSTOM3", "WEAV")</f>
        <v>loading</v>
      </c>
      <c r="K220" t="str">
        <f>RTD("tos.rtd", , "CUSTOM2", "WEAV")</f>
        <v>loading</v>
      </c>
    </row>
    <row r="221" spans="1:11" x14ac:dyDescent="0.25">
      <c r="A221" t="s">
        <v>184</v>
      </c>
      <c r="B221" t="str">
        <f>RTD("tos.rtd", , "DESCRIPTION", "EEIQ")</f>
        <v>EPICQUEST EDUCATION</v>
      </c>
      <c r="C221">
        <f>RTD("tos.rtd", , "MARK", "EEIQ")</f>
        <v>3.1</v>
      </c>
      <c r="D221">
        <f>RTD("tos.rtd", , "MARK_CHANGE", "EEIQ")</f>
        <v>0.05</v>
      </c>
      <c r="E221" t="str">
        <f>RTD("tos.rtd", , "MARK_PERCENT_CHANGE", "EEIQ")</f>
        <v>+1.64%</v>
      </c>
      <c r="F221">
        <f>RTD("tos.rtd", , "VOLUME", "EEIQ")</f>
        <v>723824</v>
      </c>
      <c r="G221">
        <f>RTD("tos.rtd", , "BID", "EEIQ")</f>
        <v>3</v>
      </c>
      <c r="H221">
        <f>RTD("tos.rtd", , "ASK", "EEIQ")</f>
        <v>3.16</v>
      </c>
      <c r="I221" t="str">
        <f>RTD("tos.rtd", , "MARKET_CAP", "EEIQ")</f>
        <v>5.1 M</v>
      </c>
      <c r="J221" t="str">
        <f>RTD("tos.rtd", , "CUSTOM3", "EEIQ")</f>
        <v>loading</v>
      </c>
      <c r="K221" t="str">
        <f>RTD("tos.rtd", , "CUSTOM2", "EEIQ")</f>
        <v>loading</v>
      </c>
    </row>
    <row r="222" spans="1:11" x14ac:dyDescent="0.25">
      <c r="A222" t="s">
        <v>185</v>
      </c>
      <c r="B222" t="str">
        <f>RTD("tos.rtd", , "DESCRIPTION", "ACB")</f>
        <v>AURORA CANNABIS INC</v>
      </c>
      <c r="C222">
        <f>RTD("tos.rtd", , "MARK", "ACB")</f>
        <v>2.7949999999999999</v>
      </c>
      <c r="D222">
        <f>RTD("tos.rtd", , "MARK_CHANGE", "ACB")</f>
        <v>-8.5000000000000006E-2</v>
      </c>
      <c r="E222" t="str">
        <f>RTD("tos.rtd", , "MARK_PERCENT_CHANGE", "ACB")</f>
        <v>-2.95%</v>
      </c>
      <c r="F222">
        <f>RTD("tos.rtd", , "VOLUME", "ACB")</f>
        <v>1046958</v>
      </c>
      <c r="G222">
        <f>RTD("tos.rtd", , "BID", "ACB")</f>
        <v>2.79</v>
      </c>
      <c r="H222">
        <f>RTD("tos.rtd", , "ASK", "ACB")</f>
        <v>2.8</v>
      </c>
      <c r="I222" t="str">
        <f>RTD("tos.rtd", , "MARKET_CAP", "ACB")</f>
        <v>173 M</v>
      </c>
      <c r="J222" t="str">
        <f>RTD("tos.rtd", , "CUSTOM3", "ACB")</f>
        <v>loading</v>
      </c>
      <c r="K222">
        <f>RTD("tos.rtd", , "CUSTOM2", "ACB")</f>
        <v>73.66</v>
      </c>
    </row>
    <row r="223" spans="1:11" x14ac:dyDescent="0.25">
      <c r="A223" t="s">
        <v>47</v>
      </c>
      <c r="B223" t="str">
        <f>RTD("tos.rtd", , "DESCRIPTION", "SIDU")</f>
        <v>SIDUS SPACE INC A</v>
      </c>
      <c r="C223">
        <f>RTD("tos.rtd", , "MARK", "SIDU")</f>
        <v>2.7898999999999998</v>
      </c>
      <c r="D223">
        <f>RTD("tos.rtd", , "MARK_CHANGE", "SIDU")</f>
        <v>-8.0100000000000005E-2</v>
      </c>
      <c r="E223" t="str">
        <f>RTD("tos.rtd", , "MARK_PERCENT_CHANGE", "SIDU")</f>
        <v>-2.79%</v>
      </c>
      <c r="F223">
        <f>RTD("tos.rtd", , "VOLUME", "SIDU")</f>
        <v>5396757</v>
      </c>
      <c r="G223">
        <f>RTD("tos.rtd", , "BID", "SIDU")</f>
        <v>2.78</v>
      </c>
      <c r="H223">
        <f>RTD("tos.rtd", , "ASK", "SIDU")</f>
        <v>2.79</v>
      </c>
      <c r="I223" t="str">
        <f>RTD("tos.rtd", , "MARKET_CAP", "SIDU")</f>
        <v>272 M</v>
      </c>
      <c r="J223" t="str">
        <f>RTD("tos.rtd", , "CUSTOM3", "SIDU")</f>
        <v>loading</v>
      </c>
      <c r="K223">
        <f>RTD("tos.rtd", , "CUSTOM2", "SIDU")</f>
        <v>20.9</v>
      </c>
    </row>
    <row r="224" spans="1:11" x14ac:dyDescent="0.25">
      <c r="A224" t="s">
        <v>186</v>
      </c>
      <c r="B224" t="str">
        <f>RTD("tos.rtd", , "DESCRIPTION", "NTSK")</f>
        <v>NETSKOPE INC A</v>
      </c>
      <c r="C224">
        <f>RTD("tos.rtd", , "MARK", "NTSK")</f>
        <v>11.175000000000001</v>
      </c>
      <c r="D224">
        <f>RTD("tos.rtd", , "MARK_CHANGE", "NTSK")</f>
        <v>0.68</v>
      </c>
      <c r="E224" t="str">
        <f>RTD("tos.rtd", , "MARK_PERCENT_CHANGE", "NTSK")</f>
        <v>+6.48%</v>
      </c>
      <c r="F224">
        <f>RTD("tos.rtd", , "VOLUME", "NTSK")</f>
        <v>2236805</v>
      </c>
      <c r="G224">
        <f>RTD("tos.rtd", , "BID", "NTSK")</f>
        <v>11.17</v>
      </c>
      <c r="H224">
        <f>RTD("tos.rtd", , "ASK", "NTSK")</f>
        <v>11.18</v>
      </c>
      <c r="I224" t="str">
        <f>RTD("tos.rtd", , "MARKET_CAP", "NTSK")</f>
        <v>4,514 M</v>
      </c>
      <c r="J224" t="str">
        <f>RTD("tos.rtd", , "CUSTOM3", "NTSK")</f>
        <v>loading</v>
      </c>
      <c r="K224" t="str">
        <f>RTD("tos.rtd", , "CUSTOM2", "NTSK")</f>
        <v>loading</v>
      </c>
    </row>
    <row r="225" spans="1:11" x14ac:dyDescent="0.25">
      <c r="A225" t="s">
        <v>187</v>
      </c>
      <c r="B225" t="str">
        <f>RTD("tos.rtd", , "DESCRIPTION", "ELDN")</f>
        <v>ELEDON PHARMACEUTICA</v>
      </c>
      <c r="C225">
        <f>RTD("tos.rtd", , "MARK", "ELDN")</f>
        <v>3.99</v>
      </c>
      <c r="D225">
        <f>RTD("tos.rtd", , "MARK_CHANGE", "ELDN")</f>
        <v>0.11</v>
      </c>
      <c r="E225" t="str">
        <f>RTD("tos.rtd", , "MARK_PERCENT_CHANGE", "ELDN")</f>
        <v>+2.84%</v>
      </c>
      <c r="F225">
        <f>RTD("tos.rtd", , "VOLUME", "ELDN")</f>
        <v>679189</v>
      </c>
      <c r="G225">
        <f>RTD("tos.rtd", , "BID", "ELDN")</f>
        <v>3.98</v>
      </c>
      <c r="H225">
        <f>RTD("tos.rtd", , "ASK", "ELDN")</f>
        <v>3.99</v>
      </c>
      <c r="I225" t="str">
        <f>RTD("tos.rtd", , "MARKET_CAP", "ELDN")</f>
        <v>308 M</v>
      </c>
      <c r="J225" t="str">
        <f>RTD("tos.rtd", , "CUSTOM3", "ELDN")</f>
        <v>loading</v>
      </c>
      <c r="K225" t="str">
        <f>RTD("tos.rtd", , "CUSTOM2", "ELDN")</f>
        <v>loading</v>
      </c>
    </row>
    <row r="226" spans="1:11" x14ac:dyDescent="0.25">
      <c r="A226" t="s">
        <v>188</v>
      </c>
      <c r="B226" t="str">
        <f>RTD("tos.rtd", , "DESCRIPTION", "PACB")</f>
        <v>PACIFIC BIOSCIENCES</v>
      </c>
      <c r="C226">
        <f>RTD("tos.rtd", , "MARK", "PACB")</f>
        <v>1.665</v>
      </c>
      <c r="D226">
        <f>RTD("tos.rtd", , "MARK_CHANGE", "PACB")</f>
        <v>-6.5000000000000002E-2</v>
      </c>
      <c r="E226" t="str">
        <f>RTD("tos.rtd", , "MARK_PERCENT_CHANGE", "PACB")</f>
        <v>-3.76%</v>
      </c>
      <c r="F226">
        <f>RTD("tos.rtd", , "VOLUME", "PACB")</f>
        <v>3489304</v>
      </c>
      <c r="G226">
        <f>RTD("tos.rtd", , "BID", "PACB")</f>
        <v>1.66</v>
      </c>
      <c r="H226">
        <f>RTD("tos.rtd", , "ASK", "PACB")</f>
        <v>1.67</v>
      </c>
      <c r="I226" t="str">
        <f>RTD("tos.rtd", , "MARKET_CAP", "PACB")</f>
        <v>517 M</v>
      </c>
      <c r="J226" t="str">
        <f>RTD("tos.rtd", , "CUSTOM3", "PACB")</f>
        <v>loading</v>
      </c>
      <c r="K226" t="str">
        <f>RTD("tos.rtd", , "CUSTOM2", "PACB")</f>
        <v>loading</v>
      </c>
    </row>
    <row r="227" spans="1:11" x14ac:dyDescent="0.25">
      <c r="A227" t="s">
        <v>56</v>
      </c>
      <c r="B227" t="str">
        <f>RTD("tos.rtd", , "DESCRIPTION", "DOMO")</f>
        <v>DOMO INC B</v>
      </c>
      <c r="C227">
        <f>RTD("tos.rtd", , "MARK", "DOMO")</f>
        <v>3.0409999999999999</v>
      </c>
      <c r="D227">
        <f>RTD("tos.rtd", , "MARK_CHANGE", "DOMO")</f>
        <v>0.191</v>
      </c>
      <c r="E227" t="str">
        <f>RTD("tos.rtd", , "MARK_PERCENT_CHANGE", "DOMO")</f>
        <v>+6.70%</v>
      </c>
      <c r="F227">
        <f>RTD("tos.rtd", , "VOLUME", "DOMO")</f>
        <v>1106051</v>
      </c>
      <c r="G227">
        <f>RTD("tos.rtd", , "BID", "DOMO")</f>
        <v>3.04</v>
      </c>
      <c r="H227">
        <f>RTD("tos.rtd", , "ASK", "DOMO")</f>
        <v>3.05</v>
      </c>
      <c r="I227" t="str">
        <f>RTD("tos.rtd", , "MARKET_CAP", "DOMO")</f>
        <v>137 M</v>
      </c>
      <c r="J227">
        <f>RTD("tos.rtd", , "CUSTOM3", "DOMO")</f>
        <v>-59.15</v>
      </c>
      <c r="K227">
        <f>RTD("tos.rtd", , "CUSTOM2", "DOMO")</f>
        <v>42.67</v>
      </c>
    </row>
    <row r="228" spans="1:11" x14ac:dyDescent="0.25">
      <c r="A228" t="s">
        <v>189</v>
      </c>
      <c r="B228" t="str">
        <f>RTD("tos.rtd", , "DESCRIPTION", "ACXP")</f>
        <v>ACURX PHARMACEUTICAL</v>
      </c>
      <c r="C228">
        <f>RTD("tos.rtd", , "MARK", "ACXP")</f>
        <v>1.56</v>
      </c>
      <c r="D228">
        <f>RTD("tos.rtd", , "MARK_CHANGE", "ACXP")</f>
        <v>-0.12</v>
      </c>
      <c r="E228" t="str">
        <f>RTD("tos.rtd", , "MARK_PERCENT_CHANGE", "ACXP")</f>
        <v>-7.14%</v>
      </c>
      <c r="F228">
        <f>RTD("tos.rtd", , "VOLUME", "ACXP")</f>
        <v>77584</v>
      </c>
      <c r="G228">
        <f>RTD("tos.rtd", , "BID", "ACXP")</f>
        <v>1.56</v>
      </c>
      <c r="H228">
        <f>RTD("tos.rtd", , "ASK", "ACXP")</f>
        <v>1.59</v>
      </c>
      <c r="I228" t="str">
        <f>RTD("tos.rtd", , "MARKET_CAP", "ACXP")</f>
        <v>6.7 M</v>
      </c>
      <c r="J228" t="str">
        <f>RTD("tos.rtd", , "CUSTOM3", "ACXP")</f>
        <v>loading</v>
      </c>
      <c r="K228" t="str">
        <f>RTD("tos.rtd", , "CUSTOM2", "ACXP")</f>
        <v>loading</v>
      </c>
    </row>
    <row r="229" spans="1:11" x14ac:dyDescent="0.25">
      <c r="A229" t="s">
        <v>190</v>
      </c>
      <c r="B229" t="str">
        <f>RTD("tos.rtd", , "DESCRIPTION", "BIAF")</f>
        <v>BIOAFFINITY TECHNOLO</v>
      </c>
      <c r="C229">
        <f>RTD("tos.rtd", , "MARK", "BIAF")</f>
        <v>0.8125</v>
      </c>
      <c r="D229">
        <f>RTD("tos.rtd", , "MARK_CHANGE", "BIAF")</f>
        <v>8.8999999999999999E-3</v>
      </c>
      <c r="E229" t="str">
        <f>RTD("tos.rtd", , "MARK_PERCENT_CHANGE", "BIAF")</f>
        <v>+1.11%</v>
      </c>
      <c r="F229">
        <f>RTD("tos.rtd", , "VOLUME", "BIAF")</f>
        <v>129917</v>
      </c>
      <c r="G229">
        <f>RTD("tos.rtd", , "BID", "BIAF")</f>
        <v>0.8125</v>
      </c>
      <c r="H229">
        <f>RTD("tos.rtd", , "ASK", "BIAF")</f>
        <v>0.8165</v>
      </c>
      <c r="I229" t="str">
        <f>RTD("tos.rtd", , "MARKET_CAP", "BIAF")</f>
        <v>5.1 M</v>
      </c>
      <c r="J229" t="str">
        <f>RTD("tos.rtd", , "CUSTOM3", "BIAF")</f>
        <v>loading</v>
      </c>
      <c r="K229" t="str">
        <f>RTD("tos.rtd", , "CUSTOM2", "BIAF")</f>
        <v>loading</v>
      </c>
    </row>
    <row r="230" spans="1:11" x14ac:dyDescent="0.25">
      <c r="A230" t="s">
        <v>191</v>
      </c>
      <c r="B230" t="str">
        <f>RTD("tos.rtd", , "DESCRIPTION", "HTZ")</f>
        <v>HERTZ GLOBAL HLDGS I</v>
      </c>
      <c r="C230">
        <f>RTD("tos.rtd", , "MARK", "HTZ")</f>
        <v>2.165</v>
      </c>
      <c r="D230">
        <f>RTD("tos.rtd", , "MARK_CHANGE", "HTZ")</f>
        <v>-0.13500000000000001</v>
      </c>
      <c r="E230" t="str">
        <f>RTD("tos.rtd", , "MARK_PERCENT_CHANGE", "HTZ")</f>
        <v>-5.87%</v>
      </c>
      <c r="F230">
        <f>RTD("tos.rtd", , "VOLUME", "HTZ")</f>
        <v>27740651</v>
      </c>
      <c r="G230">
        <f>RTD("tos.rtd", , "BID", "HTZ")</f>
        <v>2.16</v>
      </c>
      <c r="H230">
        <f>RTD("tos.rtd", , "ASK", "HTZ")</f>
        <v>2.17</v>
      </c>
      <c r="I230" t="str">
        <f>RTD("tos.rtd", , "MARKET_CAP", "HTZ")</f>
        <v>684 M</v>
      </c>
      <c r="J230" t="str">
        <f>RTD("tos.rtd", , "CUSTOM3", "HTZ")</f>
        <v>loading</v>
      </c>
      <c r="K230">
        <f>RTD("tos.rtd", , "CUSTOM2", "HTZ")</f>
        <v>33.020000000000003</v>
      </c>
    </row>
    <row r="231" spans="1:11" x14ac:dyDescent="0.25">
      <c r="A231" t="s">
        <v>40</v>
      </c>
      <c r="B231" t="str">
        <f>RTD("tos.rtd", , "DESCRIPTION", "PD")</f>
        <v>PAGERDUTY INC</v>
      </c>
      <c r="C231">
        <f>RTD("tos.rtd", , "MARK", "PD")</f>
        <v>9.51</v>
      </c>
      <c r="D231">
        <f>RTD("tos.rtd", , "MARK_CHANGE", "PD")</f>
        <v>0.13</v>
      </c>
      <c r="E231" t="str">
        <f>RTD("tos.rtd", , "MARK_PERCENT_CHANGE", "PD")</f>
        <v>+1.39%</v>
      </c>
      <c r="F231">
        <f>RTD("tos.rtd", , "VOLUME", "PD")</f>
        <v>662885</v>
      </c>
      <c r="G231">
        <f>RTD("tos.rtd", , "BID", "PD")</f>
        <v>9.51</v>
      </c>
      <c r="H231">
        <f>RTD("tos.rtd", , "ASK", "PD")</f>
        <v>9.52</v>
      </c>
      <c r="I231" t="str">
        <f>RTD("tos.rtd", , "MARKET_CAP", "PD")</f>
        <v>733 M</v>
      </c>
      <c r="J231" t="str">
        <f>RTD("tos.rtd", , "CUSTOM3", "PD")</f>
        <v>loading</v>
      </c>
      <c r="K231" t="str">
        <f>RTD("tos.rtd", , "CUSTOM2", "PD")</f>
        <v>loading</v>
      </c>
    </row>
    <row r="232" spans="1:11" x14ac:dyDescent="0.25">
      <c r="A232" t="s">
        <v>111</v>
      </c>
      <c r="B232" t="str">
        <f>RTD("tos.rtd", , "DESCRIPTION", "SRFM")</f>
        <v>SURF AIR MOBILITY IN Equity</v>
      </c>
      <c r="C232">
        <f>RTD("tos.rtd", , "MARK", "SRFM")</f>
        <v>1.1899</v>
      </c>
      <c r="D232">
        <f>RTD("tos.rtd", , "MARK_CHANGE", "SRFM")</f>
        <v>0.25990000000000002</v>
      </c>
      <c r="E232" t="str">
        <f>RTD("tos.rtd", , "MARK_PERCENT_CHANGE", "SRFM")</f>
        <v>+27.95%</v>
      </c>
      <c r="F232">
        <f>RTD("tos.rtd", , "VOLUME", "SRFM")</f>
        <v>35480976</v>
      </c>
      <c r="G232">
        <f>RTD("tos.rtd", , "BID", "SRFM")</f>
        <v>1.18</v>
      </c>
      <c r="H232">
        <f>RTD("tos.rtd", , "ASK", "SRFM")</f>
        <v>1.19</v>
      </c>
      <c r="I232" t="str">
        <f>RTD("tos.rtd", , "MARKET_CAP", "SRFM")</f>
        <v>119 M</v>
      </c>
      <c r="J232">
        <f>RTD("tos.rtd", , "CUSTOM3", "SRFM")</f>
        <v>-48.005699999999997</v>
      </c>
      <c r="K232">
        <f>RTD("tos.rtd", , "CUSTOM2", "SRFM")</f>
        <v>61.570799999999998</v>
      </c>
    </row>
  </sheetData>
  <sortState xmlns:xlrd2="http://schemas.microsoft.com/office/spreadsheetml/2017/richdata2" ref="A1:K81">
    <sortCondition ref="A11:A81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Mihalea</dc:creator>
  <cp:lastModifiedBy>Adrian Mihalea</cp:lastModifiedBy>
  <dcterms:created xsi:type="dcterms:W3CDTF">2026-02-25T10:27:30Z</dcterms:created>
  <dcterms:modified xsi:type="dcterms:W3CDTF">2026-06-30T17:41:08Z</dcterms:modified>
</cp:coreProperties>
</file>